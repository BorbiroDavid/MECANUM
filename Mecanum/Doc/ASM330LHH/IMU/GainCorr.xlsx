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52511"/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6" i="1"/>
  <c r="B18" i="1"/>
  <c r="C18" i="1" s="1"/>
  <c r="B16" i="1"/>
  <c r="C16" i="1" s="1"/>
  <c r="B17" i="1"/>
  <c r="C17" i="1" s="1"/>
  <c r="C11" i="1"/>
  <c r="C10" i="1"/>
  <c r="C9" i="1"/>
  <c r="C8" i="1"/>
  <c r="C7" i="1"/>
  <c r="C6" i="1"/>
  <c r="B11" i="1"/>
  <c r="B10" i="1"/>
  <c r="B9" i="1"/>
  <c r="B8" i="1"/>
  <c r="B7" i="1"/>
  <c r="B6" i="1"/>
  <c r="C13" i="1"/>
  <c r="C14" i="1"/>
  <c r="C15" i="1"/>
  <c r="C12" i="1"/>
  <c r="B15" i="1"/>
  <c r="B13" i="1"/>
  <c r="B14" i="1"/>
  <c r="B12" i="1"/>
</calcChain>
</file>

<file path=xl/sharedStrings.xml><?xml version="1.0" encoding="utf-8"?>
<sst xmlns="http://schemas.openxmlformats.org/spreadsheetml/2006/main" count="6" uniqueCount="6">
  <si>
    <t>g</t>
  </si>
  <si>
    <t>g standard</t>
  </si>
  <si>
    <t>meas max</t>
  </si>
  <si>
    <r>
      <t>g[m/s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</si>
  <si>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g{meas}</t>
  </si>
  <si>
    <t>corr.fact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</si>
</sst>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D25" sqref="D25"/>
    </sheetView>
  </sheetViews>
  <sheetFormatPr defaultRowHeight="15" x14ac:dyDescent="0.25"/>
  <cols>
    <col min="1" max="1" width="11.140625" customWidth="1"/>
    <col min="2" max="2" width="11" customWidth="1"/>
    <col min="3" max="3" width="10.85546875" customWidth="1"/>
  </cols>
  <sheetData>
    <row r="1" spans="1:5" x14ac:dyDescent="0.25">
      <c r="A1" t="s">
        <v>1</v>
      </c>
      <c r="B1">
        <v>9.8066499999999994</v>
      </c>
    </row>
    <row r="2" spans="1:5" x14ac:dyDescent="0.25">
      <c r="A2" t="s">
        <v>2</v>
      </c>
      <c r="B2">
        <v>32768</v>
      </c>
    </row>
    <row r="5" spans="1:5" ht="17.25" x14ac:dyDescent="0.25">
      <c r="A5" s="1" t="s">
        <v>4</v>
      </c>
      <c r="B5" s="1" t="s">
        <v>0</v>
      </c>
      <c r="C5" s="1" t="s">
        <v>3</v>
      </c>
      <c r="D5" s="1" t="s">
        <v>5</v>
      </c>
      <c r="E5" s="1"/>
    </row>
    <row r="6" spans="1:5" ht="17.25" x14ac:dyDescent="0.25">
      <c r="A6" s="2">
        <v>32774</v>
      </c>
      <c r="B6" s="3">
        <f t="shared" ref="B6:B11" si="0">A6/$B$2</f>
        <v>1.00018310546875</v>
      </c>
      <c r="C6">
        <f t="shared" ref="C6:C11" si="1">ROUND(B6*$B$1,5)</f>
        <v>9.8084500000000006</v>
      </c>
      <c r="D6" s="2">
        <f>ROUNDDOWN($B$2/B6,0)</f>
        <v>32762</v>
      </c>
      <c r="E6" s="1"/>
    </row>
    <row r="7" spans="1:5" ht="17.25" x14ac:dyDescent="0.25">
      <c r="A7" s="2">
        <v>32773</v>
      </c>
      <c r="B7" s="3">
        <f t="shared" si="0"/>
        <v>1.000152587890625</v>
      </c>
      <c r="C7">
        <f t="shared" si="1"/>
        <v>9.8081499999999995</v>
      </c>
      <c r="D7" s="2">
        <f t="shared" ref="D7:D18" si="2">ROUNDDOWN($B$2/B7,0)</f>
        <v>32763</v>
      </c>
      <c r="E7" s="1"/>
    </row>
    <row r="8" spans="1:5" ht="17.25" x14ac:dyDescent="0.25">
      <c r="A8" s="2">
        <v>32772</v>
      </c>
      <c r="B8" s="3">
        <f t="shared" si="0"/>
        <v>1.0001220703125</v>
      </c>
      <c r="C8">
        <f t="shared" si="1"/>
        <v>9.8078500000000002</v>
      </c>
      <c r="D8" s="2">
        <f t="shared" si="2"/>
        <v>32764</v>
      </c>
      <c r="E8" s="1"/>
    </row>
    <row r="9" spans="1:5" ht="17.25" x14ac:dyDescent="0.25">
      <c r="A9" s="2">
        <v>32771</v>
      </c>
      <c r="B9" s="3">
        <f t="shared" si="0"/>
        <v>1.000091552734375</v>
      </c>
      <c r="C9">
        <f t="shared" si="1"/>
        <v>9.8075500000000009</v>
      </c>
      <c r="D9" s="2">
        <f t="shared" si="2"/>
        <v>32765</v>
      </c>
      <c r="E9" s="1"/>
    </row>
    <row r="10" spans="1:5" ht="17.25" x14ac:dyDescent="0.25">
      <c r="A10" s="2">
        <v>32770</v>
      </c>
      <c r="B10" s="3">
        <f t="shared" si="0"/>
        <v>1.00006103515625</v>
      </c>
      <c r="C10">
        <f t="shared" si="1"/>
        <v>9.8072499999999998</v>
      </c>
      <c r="D10" s="2">
        <f t="shared" si="2"/>
        <v>32766</v>
      </c>
      <c r="E10" s="1"/>
    </row>
    <row r="11" spans="1:5" ht="17.25" x14ac:dyDescent="0.25">
      <c r="A11" s="2">
        <v>32769</v>
      </c>
      <c r="B11" s="3">
        <f t="shared" si="0"/>
        <v>1.000030517578125</v>
      </c>
      <c r="C11">
        <f t="shared" si="1"/>
        <v>9.8069500000000005</v>
      </c>
      <c r="D11" s="2">
        <f t="shared" si="2"/>
        <v>32767</v>
      </c>
      <c r="E11" s="1"/>
    </row>
    <row r="12" spans="1:5" x14ac:dyDescent="0.25">
      <c r="A12" s="4">
        <v>32768</v>
      </c>
      <c r="B12" s="5">
        <f>A12/$B$2</f>
        <v>1</v>
      </c>
      <c r="C12" s="6">
        <f>ROUND(B12*$B$1,5)</f>
        <v>9.8066499999999994</v>
      </c>
      <c r="D12" s="2">
        <f t="shared" si="2"/>
        <v>32768</v>
      </c>
    </row>
    <row r="13" spans="1:5" x14ac:dyDescent="0.25">
      <c r="A13" s="2">
        <v>32767</v>
      </c>
      <c r="B13" s="3">
        <f t="shared" ref="B13:B18" si="3">A13/$B$2</f>
        <v>0.999969482421875</v>
      </c>
      <c r="C13">
        <f t="shared" ref="C13:C18" si="4">ROUND(B13*$B$1,5)</f>
        <v>9.8063500000000001</v>
      </c>
      <c r="D13" s="2">
        <f t="shared" si="2"/>
        <v>32769</v>
      </c>
    </row>
    <row r="14" spans="1:5" x14ac:dyDescent="0.25">
      <c r="A14" s="2">
        <v>32766</v>
      </c>
      <c r="B14" s="3">
        <f t="shared" si="3"/>
        <v>0.99993896484375</v>
      </c>
      <c r="C14">
        <f t="shared" si="4"/>
        <v>9.8060500000000008</v>
      </c>
      <c r="D14" s="2">
        <f t="shared" si="2"/>
        <v>32770</v>
      </c>
    </row>
    <row r="15" spans="1:5" x14ac:dyDescent="0.25">
      <c r="A15" s="2">
        <v>32765</v>
      </c>
      <c r="B15" s="3">
        <f t="shared" si="3"/>
        <v>0.999908447265625</v>
      </c>
      <c r="C15">
        <f t="shared" si="4"/>
        <v>9.8057499999999997</v>
      </c>
      <c r="D15" s="2">
        <f t="shared" si="2"/>
        <v>32771</v>
      </c>
    </row>
    <row r="16" spans="1:5" x14ac:dyDescent="0.25">
      <c r="A16" s="2">
        <v>32764</v>
      </c>
      <c r="B16" s="3">
        <f t="shared" si="3"/>
        <v>0.9998779296875</v>
      </c>
      <c r="C16">
        <f t="shared" si="4"/>
        <v>9.8054500000000004</v>
      </c>
      <c r="D16" s="2">
        <f t="shared" si="2"/>
        <v>32772</v>
      </c>
    </row>
    <row r="17" spans="1:4" x14ac:dyDescent="0.25">
      <c r="A17" s="2">
        <v>32763</v>
      </c>
      <c r="B17" s="3">
        <f t="shared" si="3"/>
        <v>0.999847412109375</v>
      </c>
      <c r="C17">
        <f t="shared" si="4"/>
        <v>9.8051499999999994</v>
      </c>
      <c r="D17" s="2">
        <f t="shared" si="2"/>
        <v>32773</v>
      </c>
    </row>
    <row r="18" spans="1:4" x14ac:dyDescent="0.25">
      <c r="A18" s="2">
        <v>32762</v>
      </c>
      <c r="B18" s="3">
        <f t="shared" si="3"/>
        <v>0.99981689453125</v>
      </c>
      <c r="C18">
        <f t="shared" si="4"/>
        <v>9.8048500000000001</v>
      </c>
      <c r="D18" s="2">
        <f t="shared" si="2"/>
        <v>32774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2022-07-20T08:47:06Z</dcterms:modified>
</cp:coreProperties>
</file>