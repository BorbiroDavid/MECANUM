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7.2V" sheetId="1" r:id="rId1"/>
    <sheet name="9V" sheetId="2" r:id="rId2"/>
  </sheets>
  <calcPr calcId="152511"/>
</workbook>
</file>

<file path=xl/calcChain.xml><?xml version="1.0" encoding="utf-8"?>
<calcChain xmlns="http://schemas.openxmlformats.org/spreadsheetml/2006/main">
  <c r="K42" i="2" l="1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F42" i="2"/>
  <c r="E42" i="2"/>
  <c r="E26" i="2"/>
  <c r="A26" i="2"/>
  <c r="F25" i="2"/>
  <c r="A25" i="2"/>
  <c r="F24" i="2"/>
  <c r="E24" i="2"/>
  <c r="A4" i="2"/>
  <c r="A5" i="2" s="1"/>
  <c r="F3" i="2"/>
  <c r="E3" i="2"/>
  <c r="C3" i="2"/>
  <c r="D3" i="2" s="1"/>
  <c r="B3" i="2"/>
  <c r="B1" i="2"/>
  <c r="H3" i="2" l="1"/>
  <c r="I3" i="2" s="1"/>
  <c r="J3" i="2" s="1"/>
  <c r="G3" i="2"/>
  <c r="F5" i="2"/>
  <c r="B5" i="2"/>
  <c r="C5" i="2" s="1"/>
  <c r="D5" i="2" s="1"/>
  <c r="H5" i="2" s="1"/>
  <c r="I5" i="2" s="1"/>
  <c r="J5" i="2" s="1"/>
  <c r="E5" i="2"/>
  <c r="B4" i="2"/>
  <c r="C4" i="2" s="1"/>
  <c r="D4" i="2" s="1"/>
  <c r="H4" i="2" s="1"/>
  <c r="I4" i="2" s="1"/>
  <c r="J4" i="2" s="1"/>
  <c r="E4" i="2"/>
  <c r="A6" i="2"/>
  <c r="F4" i="2"/>
  <c r="B42" i="2"/>
  <c r="C42" i="2" s="1"/>
  <c r="B24" i="2"/>
  <c r="C24" i="2" s="1"/>
  <c r="D24" i="2" s="1"/>
  <c r="H24" i="2" s="1"/>
  <c r="I24" i="2" s="1"/>
  <c r="J24" i="2" s="1"/>
  <c r="B25" i="2"/>
  <c r="C25" i="2" s="1"/>
  <c r="D25" i="2" s="1"/>
  <c r="A27" i="2"/>
  <c r="F26" i="2"/>
  <c r="B26" i="2"/>
  <c r="C26" i="2" s="1"/>
  <c r="D26" i="2" s="1"/>
  <c r="H26" i="2" s="1"/>
  <c r="I26" i="2" s="1"/>
  <c r="J26" i="2" s="1"/>
  <c r="D42" i="2"/>
  <c r="E25" i="2"/>
  <c r="H25" i="2" l="1"/>
  <c r="I25" i="2" s="1"/>
  <c r="J25" i="2" s="1"/>
  <c r="G25" i="2"/>
  <c r="H42" i="2"/>
  <c r="I42" i="2" s="1"/>
  <c r="J42" i="2" s="1"/>
  <c r="G42" i="2"/>
  <c r="E27" i="2"/>
  <c r="F27" i="2"/>
  <c r="A28" i="2"/>
  <c r="B27" i="2"/>
  <c r="C27" i="2" s="1"/>
  <c r="D27" i="2" s="1"/>
  <c r="H27" i="2" s="1"/>
  <c r="I27" i="2" s="1"/>
  <c r="J27" i="2" s="1"/>
  <c r="A7" i="2"/>
  <c r="B6" i="2"/>
  <c r="C6" i="2" s="1"/>
  <c r="D6" i="2" s="1"/>
  <c r="H6" i="2" s="1"/>
  <c r="I6" i="2"/>
  <c r="J6" i="2" s="1"/>
  <c r="F6" i="2"/>
  <c r="G6" i="2" s="1"/>
  <c r="E6" i="2"/>
  <c r="G5" i="2"/>
  <c r="G4" i="2"/>
  <c r="G26" i="2"/>
  <c r="G24" i="2"/>
  <c r="G27" i="2" l="1"/>
  <c r="A29" i="2"/>
  <c r="F28" i="2"/>
  <c r="B28" i="2"/>
  <c r="C28" i="2" s="1"/>
  <c r="D28" i="2" s="1"/>
  <c r="H28" i="2" s="1"/>
  <c r="I28" i="2" s="1"/>
  <c r="J28" i="2" s="1"/>
  <c r="E28" i="2"/>
  <c r="A8" i="2"/>
  <c r="B7" i="2"/>
  <c r="C7" i="2" s="1"/>
  <c r="D7" i="2" s="1"/>
  <c r="H7" i="2" s="1"/>
  <c r="I7" i="2" s="1"/>
  <c r="J7" i="2" s="1"/>
  <c r="F7" i="2"/>
  <c r="E7" i="2"/>
  <c r="F8" i="2" l="1"/>
  <c r="B8" i="2"/>
  <c r="C8" i="2" s="1"/>
  <c r="D8" i="2" s="1"/>
  <c r="H8" i="2" s="1"/>
  <c r="I8" i="2"/>
  <c r="J8" i="2" s="1"/>
  <c r="E8" i="2"/>
  <c r="A9" i="2"/>
  <c r="G28" i="2"/>
  <c r="G7" i="2"/>
  <c r="E29" i="2"/>
  <c r="A30" i="2"/>
  <c r="B29" i="2"/>
  <c r="C29" i="2" s="1"/>
  <c r="D29" i="2" s="1"/>
  <c r="H29" i="2" s="1"/>
  <c r="I29" i="2" s="1"/>
  <c r="J29" i="2" s="1"/>
  <c r="F29" i="2"/>
  <c r="G29" i="2" l="1"/>
  <c r="A31" i="2"/>
  <c r="F30" i="2"/>
  <c r="B30" i="2"/>
  <c r="C30" i="2" s="1"/>
  <c r="D30" i="2" s="1"/>
  <c r="H30" i="2" s="1"/>
  <c r="I30" i="2" s="1"/>
  <c r="J30" i="2" s="1"/>
  <c r="E30" i="2"/>
  <c r="A10" i="2"/>
  <c r="F9" i="2"/>
  <c r="G9" i="2" s="1"/>
  <c r="E9" i="2"/>
  <c r="B9" i="2"/>
  <c r="C9" i="2" s="1"/>
  <c r="D9" i="2" s="1"/>
  <c r="H9" i="2" s="1"/>
  <c r="I9" i="2" s="1"/>
  <c r="J9" i="2" s="1"/>
  <c r="G8" i="2"/>
  <c r="F10" i="2" l="1"/>
  <c r="B10" i="2"/>
  <c r="C10" i="2" s="1"/>
  <c r="D10" i="2" s="1"/>
  <c r="H10" i="2" s="1"/>
  <c r="I10" i="2"/>
  <c r="J10" i="2" s="1"/>
  <c r="E10" i="2"/>
  <c r="A11" i="2"/>
  <c r="G30" i="2"/>
  <c r="E31" i="2"/>
  <c r="F31" i="2"/>
  <c r="A32" i="2"/>
  <c r="B31" i="2"/>
  <c r="C31" i="2" s="1"/>
  <c r="D31" i="2" s="1"/>
  <c r="H31" i="2" s="1"/>
  <c r="I31" i="2" s="1"/>
  <c r="J31" i="2" s="1"/>
  <c r="A33" i="2" l="1"/>
  <c r="F32" i="2"/>
  <c r="B32" i="2"/>
  <c r="C32" i="2" s="1"/>
  <c r="D32" i="2" s="1"/>
  <c r="H32" i="2" s="1"/>
  <c r="I32" i="2" s="1"/>
  <c r="J32" i="2" s="1"/>
  <c r="E32" i="2"/>
  <c r="G31" i="2"/>
  <c r="A12" i="2"/>
  <c r="B11" i="2"/>
  <c r="C11" i="2" s="1"/>
  <c r="D11" i="2" s="1"/>
  <c r="H11" i="2" s="1"/>
  <c r="I11" i="2" s="1"/>
  <c r="J11" i="2" s="1"/>
  <c r="F11" i="2"/>
  <c r="E11" i="2"/>
  <c r="G10" i="2"/>
  <c r="F12" i="2" l="1"/>
  <c r="B12" i="2"/>
  <c r="C12" i="2" s="1"/>
  <c r="D12" i="2" s="1"/>
  <c r="H12" i="2" s="1"/>
  <c r="I12" i="2"/>
  <c r="J12" i="2" s="1"/>
  <c r="E12" i="2"/>
  <c r="A13" i="2"/>
  <c r="G32" i="2"/>
  <c r="G11" i="2"/>
  <c r="E33" i="2"/>
  <c r="A34" i="2"/>
  <c r="B33" i="2"/>
  <c r="C33" i="2" s="1"/>
  <c r="D33" i="2" s="1"/>
  <c r="H33" i="2" s="1"/>
  <c r="I33" i="2" s="1"/>
  <c r="J33" i="2" s="1"/>
  <c r="F33" i="2"/>
  <c r="G33" i="2" s="1"/>
  <c r="A35" i="2" l="1"/>
  <c r="F34" i="2"/>
  <c r="B34" i="2"/>
  <c r="C34" i="2" s="1"/>
  <c r="D34" i="2" s="1"/>
  <c r="H34" i="2" s="1"/>
  <c r="I34" i="2" s="1"/>
  <c r="J34" i="2" s="1"/>
  <c r="E34" i="2"/>
  <c r="A14" i="2"/>
  <c r="F13" i="2"/>
  <c r="B13" i="2"/>
  <c r="C13" i="2" s="1"/>
  <c r="D13" i="2" s="1"/>
  <c r="H13" i="2" s="1"/>
  <c r="I13" i="2" s="1"/>
  <c r="J13" i="2" s="1"/>
  <c r="E13" i="2"/>
  <c r="G12" i="2"/>
  <c r="G34" i="2" l="1"/>
  <c r="G13" i="2"/>
  <c r="F14" i="2"/>
  <c r="B14" i="2"/>
  <c r="C14" i="2" s="1"/>
  <c r="D14" i="2" s="1"/>
  <c r="H14" i="2" s="1"/>
  <c r="I14" i="2"/>
  <c r="J14" i="2" s="1"/>
  <c r="E14" i="2"/>
  <c r="A15" i="2"/>
  <c r="E35" i="2"/>
  <c r="F35" i="2"/>
  <c r="A36" i="2"/>
  <c r="B35" i="2"/>
  <c r="C35" i="2" s="1"/>
  <c r="D35" i="2" s="1"/>
  <c r="H35" i="2" s="1"/>
  <c r="I35" i="2" s="1"/>
  <c r="J35" i="2" s="1"/>
  <c r="A37" i="2" l="1"/>
  <c r="F36" i="2"/>
  <c r="B36" i="2"/>
  <c r="C36" i="2" s="1"/>
  <c r="D36" i="2" s="1"/>
  <c r="H36" i="2" s="1"/>
  <c r="I36" i="2" s="1"/>
  <c r="J36" i="2" s="1"/>
  <c r="E36" i="2"/>
  <c r="A16" i="2"/>
  <c r="B15" i="2"/>
  <c r="C15" i="2" s="1"/>
  <c r="D15" i="2" s="1"/>
  <c r="H15" i="2" s="1"/>
  <c r="I15" i="2"/>
  <c r="J15" i="2" s="1"/>
  <c r="F15" i="2"/>
  <c r="E15" i="2"/>
  <c r="G14" i="2"/>
  <c r="G35" i="2"/>
  <c r="F16" i="2" l="1"/>
  <c r="B16" i="2"/>
  <c r="C16" i="2" s="1"/>
  <c r="D16" i="2" s="1"/>
  <c r="H16" i="2" s="1"/>
  <c r="I16" i="2" s="1"/>
  <c r="J16" i="2" s="1"/>
  <c r="E16" i="2"/>
  <c r="A17" i="2"/>
  <c r="G36" i="2"/>
  <c r="G15" i="2"/>
  <c r="I37" i="2"/>
  <c r="J37" i="2" s="1"/>
  <c r="E37" i="2"/>
  <c r="A38" i="2"/>
  <c r="B37" i="2"/>
  <c r="C37" i="2" s="1"/>
  <c r="D37" i="2" s="1"/>
  <c r="H37" i="2" s="1"/>
  <c r="F37" i="2"/>
  <c r="G37" i="2" s="1"/>
  <c r="A18" i="2" l="1"/>
  <c r="F17" i="2"/>
  <c r="E17" i="2"/>
  <c r="B17" i="2"/>
  <c r="C17" i="2" s="1"/>
  <c r="D17" i="2" s="1"/>
  <c r="H17" i="2" s="1"/>
  <c r="I17" i="2" s="1"/>
  <c r="J17" i="2" s="1"/>
  <c r="G16" i="2"/>
  <c r="A39" i="2"/>
  <c r="F38" i="2"/>
  <c r="G38" i="2" s="1"/>
  <c r="B38" i="2"/>
  <c r="C38" i="2" s="1"/>
  <c r="D38" i="2" s="1"/>
  <c r="H38" i="2" s="1"/>
  <c r="I38" i="2"/>
  <c r="J38" i="2" s="1"/>
  <c r="E38" i="2"/>
  <c r="E42" i="1"/>
  <c r="E59" i="1"/>
  <c r="E3" i="1"/>
  <c r="E39" i="2" l="1"/>
  <c r="F39" i="2"/>
  <c r="A40" i="2"/>
  <c r="B39" i="2"/>
  <c r="C39" i="2" s="1"/>
  <c r="D39" i="2" s="1"/>
  <c r="H39" i="2" s="1"/>
  <c r="I39" i="2" s="1"/>
  <c r="J39" i="2" s="1"/>
  <c r="G17" i="2"/>
  <c r="F18" i="2"/>
  <c r="B18" i="2"/>
  <c r="C18" i="2" s="1"/>
  <c r="D18" i="2" s="1"/>
  <c r="H18" i="2" s="1"/>
  <c r="I18" i="2" s="1"/>
  <c r="J18" i="2" s="1"/>
  <c r="E18" i="2"/>
  <c r="A19" i="2"/>
  <c r="F3" i="1"/>
  <c r="A4" i="1"/>
  <c r="E4" i="1" s="1"/>
  <c r="F42" i="1"/>
  <c r="F59" i="1"/>
  <c r="F4" i="1" l="1"/>
  <c r="A5" i="1"/>
  <c r="F40" i="2"/>
  <c r="B40" i="2"/>
  <c r="C40" i="2" s="1"/>
  <c r="D40" i="2" s="1"/>
  <c r="H40" i="2" s="1"/>
  <c r="I40" i="2" s="1"/>
  <c r="J40" i="2" s="1"/>
  <c r="E40" i="2"/>
  <c r="A20" i="2"/>
  <c r="B19" i="2"/>
  <c r="C19" i="2" s="1"/>
  <c r="D19" i="2" s="1"/>
  <c r="H19" i="2" s="1"/>
  <c r="I19" i="2" s="1"/>
  <c r="J19" i="2" s="1"/>
  <c r="F19" i="2"/>
  <c r="E19" i="2"/>
  <c r="G18" i="2"/>
  <c r="G39" i="2"/>
  <c r="A43" i="1"/>
  <c r="B1" i="1"/>
  <c r="B42" i="1" l="1"/>
  <c r="C42" i="1" s="1"/>
  <c r="D42" i="1" s="1"/>
  <c r="K42" i="1" s="1"/>
  <c r="B3" i="1"/>
  <c r="C3" i="1" s="1"/>
  <c r="D3" i="1" s="1"/>
  <c r="A6" i="1"/>
  <c r="E5" i="1"/>
  <c r="F5" i="1"/>
  <c r="B5" i="1"/>
  <c r="C5" i="1" s="1"/>
  <c r="D5" i="1" s="1"/>
  <c r="E43" i="1"/>
  <c r="F43" i="1"/>
  <c r="B4" i="1"/>
  <c r="C4" i="1" s="1"/>
  <c r="D4" i="1" s="1"/>
  <c r="G19" i="2"/>
  <c r="F20" i="2"/>
  <c r="B20" i="2"/>
  <c r="C20" i="2" s="1"/>
  <c r="D20" i="2" s="1"/>
  <c r="H20" i="2" s="1"/>
  <c r="I20" i="2"/>
  <c r="J20" i="2" s="1"/>
  <c r="E20" i="2"/>
  <c r="A21" i="2"/>
  <c r="G40" i="2"/>
  <c r="B43" i="1"/>
  <c r="C43" i="1" s="1"/>
  <c r="A44" i="1"/>
  <c r="B59" i="1"/>
  <c r="C59" i="1" s="1"/>
  <c r="H42" i="1"/>
  <c r="I42" i="1" s="1"/>
  <c r="J42" i="1" s="1"/>
  <c r="E44" i="1" l="1"/>
  <c r="F44" i="1"/>
  <c r="H5" i="1"/>
  <c r="I5" i="1" s="1"/>
  <c r="J5" i="1" s="1"/>
  <c r="K5" i="1"/>
  <c r="A7" i="1"/>
  <c r="E6" i="1"/>
  <c r="B6" i="1"/>
  <c r="C6" i="1" s="1"/>
  <c r="D6" i="1" s="1"/>
  <c r="F6" i="1"/>
  <c r="G6" i="1" s="1"/>
  <c r="H3" i="1"/>
  <c r="I3" i="1" s="1"/>
  <c r="J3" i="1" s="1"/>
  <c r="K3" i="1"/>
  <c r="G3" i="1"/>
  <c r="K4" i="1"/>
  <c r="H4" i="1"/>
  <c r="I4" i="1" s="1"/>
  <c r="J4" i="1" s="1"/>
  <c r="G5" i="1"/>
  <c r="G42" i="1"/>
  <c r="G4" i="1"/>
  <c r="A22" i="2"/>
  <c r="F21" i="2"/>
  <c r="G21" i="2" s="1"/>
  <c r="E21" i="2"/>
  <c r="B21" i="2"/>
  <c r="C21" i="2" s="1"/>
  <c r="D21" i="2" s="1"/>
  <c r="H21" i="2" s="1"/>
  <c r="I21" i="2" s="1"/>
  <c r="J21" i="2" s="1"/>
  <c r="G20" i="2"/>
  <c r="D43" i="1"/>
  <c r="D59" i="1"/>
  <c r="B44" i="1"/>
  <c r="C44" i="1" s="1"/>
  <c r="A45" i="1"/>
  <c r="H6" i="1" l="1"/>
  <c r="I6" i="1" s="1"/>
  <c r="J6" i="1" s="1"/>
  <c r="K6" i="1"/>
  <c r="G43" i="1"/>
  <c r="K43" i="1"/>
  <c r="G59" i="1"/>
  <c r="K59" i="1"/>
  <c r="E45" i="1"/>
  <c r="F45" i="1"/>
  <c r="A8" i="1"/>
  <c r="E7" i="1"/>
  <c r="B7" i="1"/>
  <c r="C7" i="1" s="1"/>
  <c r="D7" i="1" s="1"/>
  <c r="F7" i="1"/>
  <c r="G7" i="1" s="1"/>
  <c r="F22" i="2"/>
  <c r="B22" i="2"/>
  <c r="C22" i="2" s="1"/>
  <c r="D22" i="2" s="1"/>
  <c r="H22" i="2" s="1"/>
  <c r="I22" i="2" s="1"/>
  <c r="J22" i="2" s="1"/>
  <c r="E22" i="2"/>
  <c r="A23" i="2"/>
  <c r="H59" i="1"/>
  <c r="I59" i="1" s="1"/>
  <c r="J59" i="1" s="1"/>
  <c r="D44" i="1"/>
  <c r="H43" i="1"/>
  <c r="I43" i="1" s="1"/>
  <c r="J43" i="1" s="1"/>
  <c r="B45" i="1"/>
  <c r="C45" i="1" s="1"/>
  <c r="A46" i="1"/>
  <c r="E46" i="1" l="1"/>
  <c r="F46" i="1"/>
  <c r="A9" i="1"/>
  <c r="E8" i="1"/>
  <c r="B8" i="1"/>
  <c r="C8" i="1" s="1"/>
  <c r="D8" i="1" s="1"/>
  <c r="F8" i="1"/>
  <c r="G8" i="1" s="1"/>
  <c r="H7" i="1"/>
  <c r="I7" i="1" s="1"/>
  <c r="J7" i="1" s="1"/>
  <c r="K7" i="1"/>
  <c r="G44" i="1"/>
  <c r="K44" i="1"/>
  <c r="B23" i="2"/>
  <c r="C23" i="2" s="1"/>
  <c r="D23" i="2" s="1"/>
  <c r="H23" i="2" s="1"/>
  <c r="I23" i="2"/>
  <c r="J23" i="2" s="1"/>
  <c r="F23" i="2"/>
  <c r="G23" i="2" s="1"/>
  <c r="E23" i="2"/>
  <c r="G22" i="2"/>
  <c r="D45" i="1"/>
  <c r="H44" i="1"/>
  <c r="I44" i="1" s="1"/>
  <c r="J44" i="1" s="1"/>
  <c r="B46" i="1"/>
  <c r="C46" i="1" s="1"/>
  <c r="A47" i="1"/>
  <c r="E47" i="1" l="1"/>
  <c r="F47" i="1"/>
  <c r="G45" i="1"/>
  <c r="K45" i="1"/>
  <c r="A10" i="1"/>
  <c r="E9" i="1"/>
  <c r="F9" i="1"/>
  <c r="B9" i="1"/>
  <c r="C9" i="1" s="1"/>
  <c r="D9" i="1" s="1"/>
  <c r="K8" i="1"/>
  <c r="H8" i="1"/>
  <c r="I8" i="1" s="1"/>
  <c r="J8" i="1" s="1"/>
  <c r="D46" i="1"/>
  <c r="H45" i="1"/>
  <c r="I45" i="1" s="1"/>
  <c r="J45" i="1" s="1"/>
  <c r="B47" i="1"/>
  <c r="C47" i="1" s="1"/>
  <c r="A48" i="1"/>
  <c r="G9" i="1" l="1"/>
  <c r="H9" i="1"/>
  <c r="I9" i="1" s="1"/>
  <c r="J9" i="1" s="1"/>
  <c r="K9" i="1"/>
  <c r="G46" i="1"/>
  <c r="K46" i="1"/>
  <c r="E48" i="1"/>
  <c r="F48" i="1"/>
  <c r="A11" i="1"/>
  <c r="E10" i="1"/>
  <c r="B10" i="1"/>
  <c r="C10" i="1" s="1"/>
  <c r="D10" i="1" s="1"/>
  <c r="F10" i="1"/>
  <c r="D47" i="1"/>
  <c r="H46" i="1"/>
  <c r="I46" i="1" s="1"/>
  <c r="J46" i="1" s="1"/>
  <c r="B48" i="1"/>
  <c r="C48" i="1" s="1"/>
  <c r="A49" i="1"/>
  <c r="K10" i="1" l="1"/>
  <c r="H10" i="1"/>
  <c r="I10" i="1" s="1"/>
  <c r="J10" i="1" s="1"/>
  <c r="H47" i="1"/>
  <c r="I47" i="1" s="1"/>
  <c r="J47" i="1" s="1"/>
  <c r="K47" i="1"/>
  <c r="E11" i="1"/>
  <c r="F11" i="1"/>
  <c r="A12" i="1"/>
  <c r="B11" i="1"/>
  <c r="C11" i="1" s="1"/>
  <c r="D11" i="1" s="1"/>
  <c r="E49" i="1"/>
  <c r="F49" i="1"/>
  <c r="G10" i="1"/>
  <c r="G47" i="1"/>
  <c r="D48" i="1"/>
  <c r="B49" i="1"/>
  <c r="C49" i="1" s="1"/>
  <c r="A50" i="1"/>
  <c r="H11" i="1" l="1"/>
  <c r="I11" i="1" s="1"/>
  <c r="J11" i="1" s="1"/>
  <c r="K11" i="1"/>
  <c r="E50" i="1"/>
  <c r="F50" i="1"/>
  <c r="E12" i="1"/>
  <c r="A13" i="1"/>
  <c r="F12" i="1"/>
  <c r="B12" i="1"/>
  <c r="C12" i="1" s="1"/>
  <c r="D12" i="1" s="1"/>
  <c r="G48" i="1"/>
  <c r="K48" i="1"/>
  <c r="G11" i="1"/>
  <c r="H48" i="1"/>
  <c r="I48" i="1" s="1"/>
  <c r="J48" i="1" s="1"/>
  <c r="D49" i="1"/>
  <c r="B50" i="1"/>
  <c r="C50" i="1" s="1"/>
  <c r="A51" i="1"/>
  <c r="H12" i="1" l="1"/>
  <c r="I12" i="1" s="1"/>
  <c r="J12" i="1" s="1"/>
  <c r="K12" i="1"/>
  <c r="E51" i="1"/>
  <c r="F51" i="1"/>
  <c r="G12" i="1"/>
  <c r="E13" i="1"/>
  <c r="A14" i="1"/>
  <c r="F13" i="1"/>
  <c r="B13" i="1"/>
  <c r="C13" i="1" s="1"/>
  <c r="D13" i="1" s="1"/>
  <c r="G49" i="1"/>
  <c r="K49" i="1"/>
  <c r="H49" i="1"/>
  <c r="I49" i="1" s="1"/>
  <c r="J49" i="1" s="1"/>
  <c r="D50" i="1"/>
  <c r="B51" i="1"/>
  <c r="C51" i="1" s="1"/>
  <c r="A52" i="1"/>
  <c r="G50" i="1" l="1"/>
  <c r="K50" i="1"/>
  <c r="H13" i="1"/>
  <c r="I13" i="1" s="1"/>
  <c r="J13" i="1" s="1"/>
  <c r="K13" i="1"/>
  <c r="G13" i="1"/>
  <c r="E52" i="1"/>
  <c r="F52" i="1"/>
  <c r="E14" i="1"/>
  <c r="A15" i="1"/>
  <c r="F14" i="1"/>
  <c r="B14" i="1"/>
  <c r="C14" i="1" s="1"/>
  <c r="D14" i="1" s="1"/>
  <c r="H50" i="1"/>
  <c r="I50" i="1" s="1"/>
  <c r="J50" i="1" s="1"/>
  <c r="D51" i="1"/>
  <c r="A53" i="1"/>
  <c r="B52" i="1"/>
  <c r="C52" i="1" s="1"/>
  <c r="G51" i="1" l="1"/>
  <c r="K51" i="1"/>
  <c r="H14" i="1"/>
  <c r="I14" i="1" s="1"/>
  <c r="J14" i="1" s="1"/>
  <c r="K14" i="1"/>
  <c r="E53" i="1"/>
  <c r="F53" i="1"/>
  <c r="G14" i="1"/>
  <c r="E15" i="1"/>
  <c r="B15" i="1"/>
  <c r="C15" i="1" s="1"/>
  <c r="D15" i="1" s="1"/>
  <c r="F15" i="1"/>
  <c r="A16" i="1"/>
  <c r="D52" i="1"/>
  <c r="H51" i="1"/>
  <c r="I51" i="1" s="1"/>
  <c r="J51" i="1" s="1"/>
  <c r="B53" i="1"/>
  <c r="C53" i="1" s="1"/>
  <c r="A54" i="1"/>
  <c r="H52" i="1" l="1"/>
  <c r="I52" i="1" s="1"/>
  <c r="J52" i="1" s="1"/>
  <c r="K52" i="1"/>
  <c r="E54" i="1"/>
  <c r="F54" i="1"/>
  <c r="E16" i="1"/>
  <c r="B16" i="1"/>
  <c r="C16" i="1" s="1"/>
  <c r="D16" i="1" s="1"/>
  <c r="A17" i="1"/>
  <c r="F16" i="1"/>
  <c r="G16" i="1" s="1"/>
  <c r="G15" i="1"/>
  <c r="H15" i="1"/>
  <c r="I15" i="1" s="1"/>
  <c r="J15" i="1" s="1"/>
  <c r="K15" i="1"/>
  <c r="G52" i="1"/>
  <c r="D53" i="1"/>
  <c r="B54" i="1"/>
  <c r="C54" i="1" s="1"/>
  <c r="A55" i="1"/>
  <c r="E55" i="1" l="1"/>
  <c r="F55" i="1"/>
  <c r="E17" i="1"/>
  <c r="A18" i="1"/>
  <c r="F17" i="1"/>
  <c r="B17" i="1"/>
  <c r="C17" i="1" s="1"/>
  <c r="D17" i="1" s="1"/>
  <c r="G53" i="1"/>
  <c r="K53" i="1"/>
  <c r="H16" i="1"/>
  <c r="I16" i="1" s="1"/>
  <c r="J16" i="1" s="1"/>
  <c r="K16" i="1"/>
  <c r="H53" i="1"/>
  <c r="I53" i="1" s="1"/>
  <c r="J53" i="1" s="1"/>
  <c r="D54" i="1"/>
  <c r="B55" i="1"/>
  <c r="C55" i="1" s="1"/>
  <c r="A56" i="1"/>
  <c r="E18" i="1" l="1"/>
  <c r="F18" i="1"/>
  <c r="A19" i="1"/>
  <c r="B18" i="1"/>
  <c r="C18" i="1" s="1"/>
  <c r="D18" i="1" s="1"/>
  <c r="E56" i="1"/>
  <c r="F56" i="1"/>
  <c r="H17" i="1"/>
  <c r="I17" i="1" s="1"/>
  <c r="J17" i="1" s="1"/>
  <c r="K17" i="1"/>
  <c r="G54" i="1"/>
  <c r="K54" i="1"/>
  <c r="G17" i="1"/>
  <c r="D55" i="1"/>
  <c r="H54" i="1"/>
  <c r="I54" i="1" s="1"/>
  <c r="J54" i="1" s="1"/>
  <c r="B56" i="1"/>
  <c r="C56" i="1" s="1"/>
  <c r="A57" i="1"/>
  <c r="H55" i="1" l="1"/>
  <c r="I55" i="1" s="1"/>
  <c r="J55" i="1" s="1"/>
  <c r="K55" i="1"/>
  <c r="H18" i="1"/>
  <c r="I18" i="1" s="1"/>
  <c r="J18" i="1" s="1"/>
  <c r="K18" i="1"/>
  <c r="E19" i="1"/>
  <c r="A20" i="1"/>
  <c r="B19" i="1"/>
  <c r="C19" i="1" s="1"/>
  <c r="D19" i="1" s="1"/>
  <c r="F19" i="1"/>
  <c r="G19" i="1" s="1"/>
  <c r="E57" i="1"/>
  <c r="F57" i="1"/>
  <c r="G18" i="1"/>
  <c r="D56" i="1"/>
  <c r="G55" i="1"/>
  <c r="A58" i="1"/>
  <c r="B57" i="1"/>
  <c r="C57" i="1" s="1"/>
  <c r="G56" i="1" l="1"/>
  <c r="K56" i="1"/>
  <c r="H19" i="1"/>
  <c r="I19" i="1" s="1"/>
  <c r="J19" i="1" s="1"/>
  <c r="K19" i="1"/>
  <c r="E58" i="1"/>
  <c r="F58" i="1"/>
  <c r="E20" i="1"/>
  <c r="A21" i="1"/>
  <c r="F20" i="1"/>
  <c r="B20" i="1"/>
  <c r="C20" i="1" s="1"/>
  <c r="D20" i="1" s="1"/>
  <c r="D57" i="1"/>
  <c r="H56" i="1"/>
  <c r="I56" i="1" s="1"/>
  <c r="J56" i="1" s="1"/>
  <c r="B58" i="1"/>
  <c r="C58" i="1" s="1"/>
  <c r="H20" i="1" l="1"/>
  <c r="I20" i="1" s="1"/>
  <c r="J20" i="1" s="1"/>
  <c r="K20" i="1"/>
  <c r="E21" i="1"/>
  <c r="F21" i="1"/>
  <c r="A22" i="1"/>
  <c r="B21" i="1"/>
  <c r="C21" i="1" s="1"/>
  <c r="D21" i="1" s="1"/>
  <c r="H57" i="1"/>
  <c r="I57" i="1" s="1"/>
  <c r="J57" i="1" s="1"/>
  <c r="K57" i="1"/>
  <c r="G20" i="1"/>
  <c r="G57" i="1"/>
  <c r="D58" i="1"/>
  <c r="G21" i="1" l="1"/>
  <c r="K21" i="1"/>
  <c r="H21" i="1"/>
  <c r="I21" i="1" s="1"/>
  <c r="J21" i="1" s="1"/>
  <c r="H58" i="1"/>
  <c r="I58" i="1" s="1"/>
  <c r="J58" i="1" s="1"/>
  <c r="K58" i="1"/>
  <c r="E22" i="1"/>
  <c r="B22" i="1"/>
  <c r="C22" i="1" s="1"/>
  <c r="D22" i="1" s="1"/>
  <c r="A23" i="1"/>
  <c r="F22" i="1"/>
  <c r="G58" i="1"/>
  <c r="H22" i="1" l="1"/>
  <c r="I22" i="1" s="1"/>
  <c r="J22" i="1" s="1"/>
  <c r="K22" i="1"/>
  <c r="E23" i="1"/>
  <c r="F23" i="1"/>
  <c r="B23" i="1"/>
  <c r="C23" i="1" s="1"/>
  <c r="D23" i="1" s="1"/>
  <c r="A24" i="1"/>
  <c r="G22" i="1"/>
  <c r="K23" i="1" l="1"/>
  <c r="H23" i="1"/>
  <c r="I23" i="1" s="1"/>
  <c r="J23" i="1" s="1"/>
  <c r="G23" i="1"/>
  <c r="E24" i="1"/>
  <c r="F24" i="1"/>
  <c r="B24" i="1"/>
  <c r="C24" i="1" s="1"/>
  <c r="D24" i="1" s="1"/>
  <c r="A25" i="1"/>
  <c r="G24" i="1" l="1"/>
  <c r="E25" i="1"/>
  <c r="F25" i="1"/>
  <c r="B25" i="1"/>
  <c r="C25" i="1" s="1"/>
  <c r="D25" i="1" s="1"/>
  <c r="A26" i="1"/>
  <c r="K24" i="1"/>
  <c r="H24" i="1"/>
  <c r="I24" i="1" s="1"/>
  <c r="J24" i="1" s="1"/>
  <c r="E26" i="1" l="1"/>
  <c r="B26" i="1"/>
  <c r="C26" i="1" s="1"/>
  <c r="D26" i="1" s="1"/>
  <c r="F26" i="1"/>
  <c r="A27" i="1"/>
  <c r="H25" i="1"/>
  <c r="I25" i="1" s="1"/>
  <c r="J25" i="1" s="1"/>
  <c r="K25" i="1"/>
  <c r="G25" i="1"/>
  <c r="E27" i="1" l="1"/>
  <c r="A28" i="1"/>
  <c r="F27" i="1"/>
  <c r="B27" i="1"/>
  <c r="C27" i="1" s="1"/>
  <c r="D27" i="1" s="1"/>
  <c r="H26" i="1"/>
  <c r="I26" i="1" s="1"/>
  <c r="J26" i="1" s="1"/>
  <c r="K26" i="1"/>
  <c r="G26" i="1"/>
  <c r="H27" i="1" l="1"/>
  <c r="I27" i="1" s="1"/>
  <c r="J27" i="1" s="1"/>
  <c r="K27" i="1"/>
  <c r="G27" i="1"/>
  <c r="E28" i="1"/>
  <c r="F28" i="1"/>
  <c r="B28" i="1"/>
  <c r="C28" i="1" s="1"/>
  <c r="D28" i="1" s="1"/>
  <c r="A29" i="1"/>
  <c r="E29" i="1" l="1"/>
  <c r="B29" i="1"/>
  <c r="C29" i="1" s="1"/>
  <c r="D29" i="1" s="1"/>
  <c r="A30" i="1"/>
  <c r="F29" i="1"/>
  <c r="G29" i="1" s="1"/>
  <c r="K28" i="1"/>
  <c r="H28" i="1"/>
  <c r="I28" i="1" s="1"/>
  <c r="J28" i="1" s="1"/>
  <c r="G28" i="1"/>
  <c r="E30" i="1" l="1"/>
  <c r="A31" i="1"/>
  <c r="B30" i="1"/>
  <c r="C30" i="1" s="1"/>
  <c r="D30" i="1" s="1"/>
  <c r="F30" i="1"/>
  <c r="G30" i="1" s="1"/>
  <c r="H29" i="1"/>
  <c r="I29" i="1" s="1"/>
  <c r="J29" i="1" s="1"/>
  <c r="K29" i="1"/>
  <c r="H30" i="1" l="1"/>
  <c r="I30" i="1" s="1"/>
  <c r="J30" i="1" s="1"/>
  <c r="K30" i="1"/>
  <c r="E31" i="1"/>
  <c r="B31" i="1"/>
  <c r="C31" i="1" s="1"/>
  <c r="D31" i="1" s="1"/>
  <c r="F31" i="1"/>
  <c r="A32" i="1"/>
  <c r="G31" i="1" l="1"/>
  <c r="H31" i="1"/>
  <c r="I31" i="1" s="1"/>
  <c r="J31" i="1" s="1"/>
  <c r="K31" i="1"/>
  <c r="E32" i="1"/>
  <c r="F32" i="1"/>
  <c r="A33" i="1"/>
  <c r="B32" i="1"/>
  <c r="C32" i="1" s="1"/>
  <c r="D32" i="1" s="1"/>
  <c r="H32" i="1" l="1"/>
  <c r="I32" i="1" s="1"/>
  <c r="J32" i="1" s="1"/>
  <c r="K32" i="1"/>
  <c r="E33" i="1"/>
  <c r="B33" i="1"/>
  <c r="C33" i="1" s="1"/>
  <c r="D33" i="1" s="1"/>
  <c r="A34" i="1"/>
  <c r="F33" i="1"/>
  <c r="G33" i="1" s="1"/>
  <c r="G32" i="1"/>
  <c r="E34" i="1" l="1"/>
  <c r="A35" i="1"/>
  <c r="F34" i="1"/>
  <c r="B34" i="1"/>
  <c r="C34" i="1" s="1"/>
  <c r="D34" i="1" s="1"/>
  <c r="K33" i="1"/>
  <c r="H33" i="1"/>
  <c r="I33" i="1" s="1"/>
  <c r="J33" i="1" s="1"/>
  <c r="H34" i="1" l="1"/>
  <c r="I34" i="1" s="1"/>
  <c r="J34" i="1" s="1"/>
  <c r="K34" i="1"/>
  <c r="G34" i="1"/>
  <c r="E35" i="1"/>
  <c r="A36" i="1"/>
  <c r="B35" i="1"/>
  <c r="C35" i="1" s="1"/>
  <c r="D35" i="1" s="1"/>
  <c r="F35" i="1"/>
  <c r="G35" i="1" l="1"/>
  <c r="H35" i="1"/>
  <c r="I35" i="1" s="1"/>
  <c r="J35" i="1" s="1"/>
  <c r="K35" i="1"/>
  <c r="E36" i="1"/>
  <c r="B36" i="1"/>
  <c r="C36" i="1" s="1"/>
  <c r="D36" i="1" s="1"/>
  <c r="A37" i="1"/>
  <c r="F36" i="1"/>
  <c r="K36" i="1" l="1"/>
  <c r="H36" i="1"/>
  <c r="I36" i="1" s="1"/>
  <c r="J36" i="1" s="1"/>
  <c r="G36" i="1"/>
  <c r="E37" i="1"/>
  <c r="B37" i="1"/>
  <c r="C37" i="1" s="1"/>
  <c r="D37" i="1" s="1"/>
  <c r="F37" i="1"/>
  <c r="A38" i="1"/>
  <c r="K37" i="1" l="1"/>
  <c r="H37" i="1"/>
  <c r="I37" i="1" s="1"/>
  <c r="J37" i="1" s="1"/>
  <c r="E38" i="1"/>
  <c r="A39" i="1"/>
  <c r="B38" i="1"/>
  <c r="C38" i="1" s="1"/>
  <c r="D38" i="1" s="1"/>
  <c r="F38" i="1"/>
  <c r="G38" i="1" s="1"/>
  <c r="G37" i="1"/>
  <c r="E39" i="1" l="1"/>
  <c r="B39" i="1"/>
  <c r="C39" i="1" s="1"/>
  <c r="D39" i="1" s="1"/>
  <c r="F39" i="1"/>
  <c r="A40" i="1"/>
  <c r="H38" i="1"/>
  <c r="I38" i="1" s="1"/>
  <c r="J38" i="1" s="1"/>
  <c r="K38" i="1"/>
  <c r="E40" i="1" l="1"/>
  <c r="F40" i="1"/>
  <c r="B40" i="1"/>
  <c r="C40" i="1" s="1"/>
  <c r="D40" i="1" s="1"/>
  <c r="A41" i="1"/>
  <c r="G39" i="1"/>
  <c r="H39" i="1"/>
  <c r="I39" i="1" s="1"/>
  <c r="J39" i="1" s="1"/>
  <c r="K39" i="1"/>
  <c r="E41" i="1" l="1"/>
  <c r="F41" i="1"/>
  <c r="B41" i="1"/>
  <c r="C41" i="1" s="1"/>
  <c r="D41" i="1" s="1"/>
  <c r="G40" i="1"/>
  <c r="H40" i="1"/>
  <c r="I40" i="1" s="1"/>
  <c r="J40" i="1" s="1"/>
  <c r="K40" i="1"/>
  <c r="G41" i="1" l="1"/>
  <c r="H41" i="1"/>
  <c r="I41" i="1" s="1"/>
  <c r="J41" i="1" s="1"/>
  <c r="K41" i="1"/>
</calcChain>
</file>

<file path=xl/sharedStrings.xml><?xml version="1.0" encoding="utf-8"?>
<sst xmlns="http://schemas.openxmlformats.org/spreadsheetml/2006/main" count="24" uniqueCount="12">
  <si>
    <t>Osztó</t>
  </si>
  <si>
    <t>Leosztott feszültség</t>
  </si>
  <si>
    <t>ADC mért érték</t>
  </si>
  <si>
    <t>Hiba %</t>
  </si>
  <si>
    <r>
      <t>Elvi N</t>
    </r>
    <r>
      <rPr>
        <vertAlign val="subscript"/>
        <sz val="9"/>
        <color theme="1"/>
        <rFont val="Calibri"/>
        <family val="2"/>
        <charset val="238"/>
        <scheme val="minor"/>
      </rPr>
      <t>top</t>
    </r>
    <r>
      <rPr>
        <sz val="9"/>
        <color theme="1"/>
        <rFont val="Calibri"/>
        <family val="2"/>
        <scheme val="minor"/>
      </rPr>
      <t xml:space="preserve"> érték</t>
    </r>
  </si>
  <si>
    <t>Max. kitöltési tényező</t>
  </si>
  <si>
    <t>Max. motor- feszültség</t>
  </si>
  <si>
    <t>Kerekítve 2 tizedes-jegyre</t>
  </si>
  <si>
    <r>
      <t>N</t>
    </r>
    <r>
      <rPr>
        <vertAlign val="subscript"/>
        <sz val="9"/>
        <color theme="1"/>
        <rFont val="Calibri"/>
        <family val="2"/>
        <charset val="238"/>
        <scheme val="minor"/>
      </rPr>
      <t>top</t>
    </r>
    <r>
      <rPr>
        <sz val="9"/>
        <color theme="1"/>
        <rFont val="Calibri"/>
        <family val="2"/>
        <scheme val="minor"/>
      </rPr>
      <t xml:space="preserve"> feszültség alapján</t>
    </r>
  </si>
  <si>
    <r>
      <t>N</t>
    </r>
    <r>
      <rPr>
        <vertAlign val="subscript"/>
        <sz val="9"/>
        <color theme="1"/>
        <rFont val="Calibri"/>
        <family val="2"/>
        <charset val="238"/>
        <scheme val="minor"/>
      </rPr>
      <t>top</t>
    </r>
    <r>
      <rPr>
        <sz val="9"/>
        <color theme="1"/>
        <rFont val="Calibri"/>
        <family val="2"/>
        <scheme val="minor"/>
      </rPr>
      <t xml:space="preserve"> ADC alapján</t>
    </r>
  </si>
  <si>
    <t>Akku feszültség</t>
  </si>
  <si>
    <r>
      <t>f</t>
    </r>
    <r>
      <rPr>
        <vertAlign val="subscript"/>
        <sz val="9"/>
        <color theme="1"/>
        <rFont val="Calibri"/>
        <family val="2"/>
        <scheme val="minor"/>
      </rPr>
      <t>PWM</t>
    </r>
    <r>
      <rPr>
        <sz val="9"/>
        <color theme="1"/>
        <rFont val="Calibri"/>
        <family val="2"/>
        <scheme val="minor"/>
      </rPr>
      <t xml:space="preserve">
[kHz]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</si>
</sst>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#,##0.0000"/>
    <numFmt numFmtId="166" formatCode="0.0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9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vertAlign val="subscript"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165" fontId="2" fillId="5" borderId="1" xfId="0" applyNumberFormat="1" applyFont="1" applyFill="1" applyBorder="1" applyAlignment="1">
      <alignment vertical="center" wrapText="1"/>
    </xf>
    <xf numFmtId="2" fontId="2" fillId="5" borderId="1" xfId="0" applyNumberFormat="1" applyFont="1" applyFill="1" applyBorder="1"/>
    <xf numFmtId="166" fontId="0" fillId="2" borderId="1" xfId="0" applyNumberForma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65" fontId="2" fillId="2" borderId="1" xfId="0" applyNumberFormat="1" applyFont="1" applyFill="1" applyBorder="1" applyAlignment="1">
      <alignment vertical="center" wrapText="1"/>
    </xf>
    <xf numFmtId="2" fontId="2" fillId="2" borderId="1" xfId="0" applyNumberFormat="1" applyFont="1" applyFill="1" applyBorder="1"/>
    <xf numFmtId="166" fontId="0" fillId="6" borderId="1" xfId="0" applyNumberFormat="1" applyFill="1" applyBorder="1" applyAlignment="1">
      <alignment vertical="center" wrapText="1"/>
    </xf>
    <xf numFmtId="164" fontId="2" fillId="6" borderId="1" xfId="0" applyNumberFormat="1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165" fontId="2" fillId="6" borderId="1" xfId="0" applyNumberFormat="1" applyFont="1" applyFill="1" applyBorder="1" applyAlignment="1">
      <alignment vertical="center" wrapText="1"/>
    </xf>
    <xf numFmtId="2" fontId="2" fillId="6" borderId="1" xfId="0" applyNumberFormat="1" applyFont="1" applyFill="1" applyBorder="1"/>
    <xf numFmtId="166" fontId="4" fillId="6" borderId="1" xfId="0" applyNumberFormat="1" applyFont="1" applyFill="1" applyBorder="1" applyAlignment="1">
      <alignment vertical="center" wrapText="1"/>
    </xf>
    <xf numFmtId="164" fontId="4" fillId="6" borderId="1" xfId="0" applyNumberFormat="1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165" fontId="4" fillId="6" borderId="1" xfId="0" applyNumberFormat="1" applyFont="1" applyFill="1" applyBorder="1" applyAlignment="1">
      <alignment vertical="center" wrapText="1"/>
    </xf>
    <xf numFmtId="2" fontId="4" fillId="6" borderId="1" xfId="0" applyNumberFormat="1" applyFont="1" applyFill="1" applyBorder="1"/>
    <xf numFmtId="164" fontId="2" fillId="4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65" fontId="2" fillId="4" borderId="1" xfId="0" applyNumberFormat="1" applyFont="1" applyFill="1" applyBorder="1" applyAlignment="1">
      <alignment vertical="center" wrapText="1"/>
    </xf>
    <xf numFmtId="2" fontId="2" fillId="4" borderId="1" xfId="0" applyNumberFormat="1" applyFont="1" applyFill="1" applyBorder="1"/>
    <xf numFmtId="166" fontId="0" fillId="4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166" fontId="0" fillId="3" borderId="1" xfId="0" applyNumberFormat="1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2" fontId="0" fillId="3" borderId="1" xfId="0" applyNumberFormat="1" applyFill="1" applyBorder="1"/>
    <xf numFmtId="166" fontId="2" fillId="6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/>
    <xf numFmtId="0" fontId="0" fillId="3" borderId="1" xfId="0" applyFill="1" applyBorder="1"/>
    <xf numFmtId="164" fontId="0" fillId="2" borderId="1" xfId="0" applyNumberFormat="1" applyFill="1" applyBorder="1"/>
    <xf numFmtId="2" fontId="0" fillId="2" borderId="1" xfId="0" applyNumberFormat="1" applyFill="1" applyBorder="1"/>
    <xf numFmtId="164" fontId="0" fillId="6" borderId="1" xfId="0" applyNumberFormat="1" applyFill="1" applyBorder="1"/>
    <xf numFmtId="2" fontId="0" fillId="6" borderId="1" xfId="0" applyNumberFormat="1" applyFill="1" applyBorder="1"/>
    <xf numFmtId="164" fontId="4" fillId="6" borderId="1" xfId="0" applyNumberFormat="1" applyFont="1" applyFill="1" applyBorder="1"/>
    <xf numFmtId="164" fontId="0" fillId="4" borderId="1" xfId="0" applyNumberFormat="1" applyFill="1" applyBorder="1"/>
    <xf numFmtId="2" fontId="0" fillId="4" borderId="1" xfId="0" applyNumberFormat="1" applyFill="1" applyBorder="1"/>
    <xf numFmtId="0" fontId="1" fillId="3" borderId="1" xfId="0" applyFont="1" applyFill="1" applyBorder="1" applyAlignment="1">
      <alignment horizontal="center" vertical="center" wrapText="1"/>
    </xf>
    <xf numFmtId="164" fontId="0" fillId="5" borderId="1" xfId="0" applyNumberFormat="1" applyFill="1" applyBorder="1"/>
    <xf numFmtId="2" fontId="0" fillId="5" borderId="1" xfId="0" applyNumberFormat="1" applyFill="1" applyBorder="1"/>
    <xf numFmtId="166" fontId="0" fillId="5" borderId="1" xfId="0" applyNumberFormat="1" applyFont="1" applyFill="1" applyBorder="1" applyAlignment="1">
      <alignment horizontal="right" vertical="center" wrapText="1"/>
    </xf>
    <xf numFmtId="166" fontId="5" fillId="6" borderId="1" xfId="0" applyNumberFormat="1" applyFont="1" applyFill="1" applyBorder="1" applyAlignment="1">
      <alignment vertical="center" wrapText="1"/>
    </xf>
    <xf numFmtId="164" fontId="5" fillId="6" borderId="1" xfId="0" applyNumberFormat="1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165" fontId="5" fillId="6" borderId="1" xfId="0" applyNumberFormat="1" applyFont="1" applyFill="1" applyBorder="1" applyAlignment="1">
      <alignment vertical="center" wrapText="1"/>
    </xf>
    <xf numFmtId="2" fontId="5" fillId="6" borderId="1" xfId="0" applyNumberFormat="1" applyFont="1" applyFill="1" applyBorder="1"/>
    <xf numFmtId="164" fontId="5" fillId="6" borderId="1" xfId="0" applyNumberFormat="1" applyFont="1" applyFill="1" applyBorder="1"/>
    <xf numFmtId="166" fontId="2" fillId="5" borderId="1" xfId="0" applyNumberFormat="1" applyFont="1" applyFill="1" applyBorder="1" applyAlignment="1">
      <alignment vertical="center" wrapText="1"/>
    </xf>
    <xf numFmtId="165" fontId="0" fillId="3" borderId="1" xfId="0" applyNumberFormat="1" applyFill="1" applyBorder="1" applyAlignment="1">
      <alignment vertical="center" wrapText="1"/>
    </xf>
    <xf numFmtId="166" fontId="0" fillId="2" borderId="1" xfId="0" applyNumberFormat="1" applyFont="1" applyFill="1" applyBorder="1" applyAlignment="1">
      <alignment horizontal="right" vertical="center" wrapText="1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workbookViewId="0">
      <selection activeCell="B21" sqref="B21"/>
    </sheetView>
  </sheetViews>
  <sheetFormatPr defaultRowHeight="15" x14ac:dyDescent="0.25"/>
  <cols>
    <col min="6" max="6" width="10.7109375" customWidth="1"/>
    <col min="7" max="7" width="9.28515625" customWidth="1"/>
    <col min="11" max="11" width="8.42578125" customWidth="1"/>
  </cols>
  <sheetData>
    <row r="1" spans="1:11" s="1" customFormat="1" x14ac:dyDescent="0.25">
      <c r="A1" s="2" t="s">
        <v>0</v>
      </c>
      <c r="B1" s="3">
        <f>1.5/(1.5+4.3)</f>
        <v>0.25862068965517243</v>
      </c>
      <c r="C1" s="30"/>
      <c r="D1" s="30"/>
      <c r="E1" s="30"/>
      <c r="F1" s="31"/>
      <c r="G1" s="31"/>
      <c r="H1" s="31"/>
      <c r="I1" s="31"/>
      <c r="J1" s="31"/>
      <c r="K1" s="31"/>
    </row>
    <row r="2" spans="1:11" ht="37.5" x14ac:dyDescent="0.25">
      <c r="A2" s="46" t="s">
        <v>10</v>
      </c>
      <c r="B2" s="4" t="s">
        <v>1</v>
      </c>
      <c r="C2" s="5" t="s">
        <v>2</v>
      </c>
      <c r="D2" s="5" t="s">
        <v>9</v>
      </c>
      <c r="E2" s="5" t="s">
        <v>8</v>
      </c>
      <c r="F2" s="5" t="s">
        <v>4</v>
      </c>
      <c r="G2" s="5" t="s">
        <v>3</v>
      </c>
      <c r="H2" s="36" t="s">
        <v>5</v>
      </c>
      <c r="I2" s="36" t="s">
        <v>6</v>
      </c>
      <c r="J2" s="36" t="s">
        <v>7</v>
      </c>
      <c r="K2" s="5" t="s">
        <v>11</v>
      </c>
    </row>
    <row r="3" spans="1:11" x14ac:dyDescent="0.25">
      <c r="A3" s="49">
        <v>7.2</v>
      </c>
      <c r="B3" s="6">
        <f>$A3*$B$1</f>
        <v>1.8620689655172415</v>
      </c>
      <c r="C3" s="7">
        <f>ROUNDDOWN($B3/3.3*4096,0)</f>
        <v>2311</v>
      </c>
      <c r="D3" s="7">
        <f>ROUND(3.3/14.4/$B$1*$C3,0)</f>
        <v>2048</v>
      </c>
      <c r="E3" s="7">
        <f>ROUND(2048/7.2*$A3,0)</f>
        <v>2048</v>
      </c>
      <c r="F3" s="8">
        <f>2048/7.2*$A3</f>
        <v>2048</v>
      </c>
      <c r="G3" s="9">
        <f>($F3-$D3)/$F3*100</f>
        <v>0</v>
      </c>
      <c r="H3" s="47">
        <f t="shared" ref="H3:H10" si="0">2048/$D3</f>
        <v>1</v>
      </c>
      <c r="I3" s="47">
        <f>$A3*$H3</f>
        <v>7.2</v>
      </c>
      <c r="J3" s="48">
        <f t="shared" ref="J3:J10" si="1">ROUND($I3,2)</f>
        <v>7.2</v>
      </c>
      <c r="K3" s="48">
        <f>84000/$D3/2</f>
        <v>20.5078125</v>
      </c>
    </row>
    <row r="4" spans="1:11" x14ac:dyDescent="0.25">
      <c r="A4" s="49">
        <f>A3+0.1</f>
        <v>7.3</v>
      </c>
      <c r="B4" s="6">
        <f t="shared" ref="B4:B10" si="2">$A4*$B$1</f>
        <v>1.8879310344827587</v>
      </c>
      <c r="C4" s="7">
        <f t="shared" ref="C4:C10" si="3">ROUNDDOWN($B4/3.3*4096,0)</f>
        <v>2343</v>
      </c>
      <c r="D4" s="7">
        <f t="shared" ref="D4:D10" si="4">ROUND(3.3/14.4/$B$1*$C4,0)</f>
        <v>2076</v>
      </c>
      <c r="E4" s="7">
        <f t="shared" ref="E4:E59" si="5">ROUND(2048/7.2*$A4,0)</f>
        <v>2076</v>
      </c>
      <c r="F4" s="8">
        <f t="shared" ref="F4:F10" si="6">2048/7.2*$A4</f>
        <v>2076.4444444444443</v>
      </c>
      <c r="G4" s="9">
        <f t="shared" ref="G4:G10" si="7">($F4-$D4)/$F4*100</f>
        <v>2.1404109589036231E-2</v>
      </c>
      <c r="H4" s="47">
        <f t="shared" si="0"/>
        <v>0.98651252408477841</v>
      </c>
      <c r="I4" s="47">
        <f t="shared" ref="I4:I10" si="8">$A4*$H4</f>
        <v>7.2015414258188821</v>
      </c>
      <c r="J4" s="48">
        <f t="shared" si="1"/>
        <v>7.2</v>
      </c>
      <c r="K4" s="48">
        <f t="shared" ref="K4:K59" si="9">84000/$D4/2</f>
        <v>20.23121387283237</v>
      </c>
    </row>
    <row r="5" spans="1:11" x14ac:dyDescent="0.25">
      <c r="A5" s="49">
        <f t="shared" ref="A5:A11" si="10">A4+0.1</f>
        <v>7.3999999999999995</v>
      </c>
      <c r="B5" s="6">
        <f t="shared" si="2"/>
        <v>1.9137931034482758</v>
      </c>
      <c r="C5" s="7">
        <f t="shared" si="3"/>
        <v>2375</v>
      </c>
      <c r="D5" s="7">
        <f t="shared" si="4"/>
        <v>2105</v>
      </c>
      <c r="E5" s="7">
        <f t="shared" si="5"/>
        <v>2105</v>
      </c>
      <c r="F5" s="8">
        <f t="shared" si="6"/>
        <v>2104.8888888888887</v>
      </c>
      <c r="G5" s="9">
        <f t="shared" si="7"/>
        <v>-5.2787162162258186E-3</v>
      </c>
      <c r="H5" s="47">
        <f t="shared" si="0"/>
        <v>0.97292161520190024</v>
      </c>
      <c r="I5" s="47">
        <f t="shared" si="8"/>
        <v>7.1996199524940616</v>
      </c>
      <c r="J5" s="48">
        <f t="shared" si="1"/>
        <v>7.2</v>
      </c>
      <c r="K5" s="48">
        <f t="shared" si="9"/>
        <v>19.952494061757719</v>
      </c>
    </row>
    <row r="6" spans="1:11" x14ac:dyDescent="0.25">
      <c r="A6" s="49">
        <f t="shared" si="10"/>
        <v>7.4999999999999991</v>
      </c>
      <c r="B6" s="6">
        <f t="shared" si="2"/>
        <v>1.9396551724137929</v>
      </c>
      <c r="C6" s="7">
        <f t="shared" si="3"/>
        <v>2407</v>
      </c>
      <c r="D6" s="7">
        <f t="shared" si="4"/>
        <v>2133</v>
      </c>
      <c r="E6" s="7">
        <f t="shared" si="5"/>
        <v>2133</v>
      </c>
      <c r="F6" s="8">
        <f t="shared" si="6"/>
        <v>2133.333333333333</v>
      </c>
      <c r="G6" s="9">
        <f t="shared" si="7"/>
        <v>1.5624999999985793E-2</v>
      </c>
      <c r="H6" s="47">
        <f t="shared" si="0"/>
        <v>0.96015002344116274</v>
      </c>
      <c r="I6" s="47">
        <f t="shared" si="8"/>
        <v>7.2011251758087198</v>
      </c>
      <c r="J6" s="48">
        <f t="shared" si="1"/>
        <v>7.2</v>
      </c>
      <c r="K6" s="48">
        <f t="shared" si="9"/>
        <v>19.690576652601969</v>
      </c>
    </row>
    <row r="7" spans="1:11" x14ac:dyDescent="0.25">
      <c r="A7" s="49">
        <f t="shared" si="10"/>
        <v>7.5999999999999988</v>
      </c>
      <c r="B7" s="6">
        <f t="shared" si="2"/>
        <v>1.9655172413793101</v>
      </c>
      <c r="C7" s="7">
        <f t="shared" si="3"/>
        <v>2439</v>
      </c>
      <c r="D7" s="7">
        <f t="shared" si="4"/>
        <v>2161</v>
      </c>
      <c r="E7" s="7">
        <f t="shared" si="5"/>
        <v>2162</v>
      </c>
      <c r="F7" s="8">
        <f t="shared" si="6"/>
        <v>2161.7777777777774</v>
      </c>
      <c r="G7" s="9">
        <f t="shared" si="7"/>
        <v>3.5978618421033941E-2</v>
      </c>
      <c r="H7" s="47">
        <f t="shared" si="0"/>
        <v>0.94770939379916708</v>
      </c>
      <c r="I7" s="47">
        <f t="shared" si="8"/>
        <v>7.2025913928736687</v>
      </c>
      <c r="J7" s="48">
        <f t="shared" si="1"/>
        <v>7.2</v>
      </c>
      <c r="K7" s="48">
        <f t="shared" si="9"/>
        <v>19.435446552521981</v>
      </c>
    </row>
    <row r="8" spans="1:11" x14ac:dyDescent="0.25">
      <c r="A8" s="49">
        <f t="shared" si="10"/>
        <v>7.6999999999999984</v>
      </c>
      <c r="B8" s="6">
        <f t="shared" si="2"/>
        <v>1.9913793103448274</v>
      </c>
      <c r="C8" s="7">
        <f t="shared" si="3"/>
        <v>2471</v>
      </c>
      <c r="D8" s="7">
        <f t="shared" si="4"/>
        <v>2190</v>
      </c>
      <c r="E8" s="7">
        <f t="shared" si="5"/>
        <v>2190</v>
      </c>
      <c r="F8" s="8">
        <f t="shared" si="6"/>
        <v>2190.2222222222217</v>
      </c>
      <c r="G8" s="9">
        <f t="shared" si="7"/>
        <v>1.0146103896080829E-2</v>
      </c>
      <c r="H8" s="47">
        <f t="shared" si="0"/>
        <v>0.93515981735159814</v>
      </c>
      <c r="I8" s="47">
        <f t="shared" si="8"/>
        <v>7.2007305936073038</v>
      </c>
      <c r="J8" s="48">
        <f t="shared" si="1"/>
        <v>7.2</v>
      </c>
      <c r="K8" s="48">
        <f t="shared" si="9"/>
        <v>19.17808219178082</v>
      </c>
    </row>
    <row r="9" spans="1:11" x14ac:dyDescent="0.25">
      <c r="A9" s="49">
        <f t="shared" si="10"/>
        <v>7.799999999999998</v>
      </c>
      <c r="B9" s="6">
        <f t="shared" si="2"/>
        <v>2.0172413793103443</v>
      </c>
      <c r="C9" s="7">
        <f t="shared" si="3"/>
        <v>2503</v>
      </c>
      <c r="D9" s="7">
        <f t="shared" si="4"/>
        <v>2218</v>
      </c>
      <c r="E9" s="7">
        <f t="shared" si="5"/>
        <v>2219</v>
      </c>
      <c r="F9" s="8">
        <f t="shared" si="6"/>
        <v>2218.6666666666661</v>
      </c>
      <c r="G9" s="9">
        <f t="shared" si="7"/>
        <v>3.0048076923049602E-2</v>
      </c>
      <c r="H9" s="47">
        <f t="shared" si="0"/>
        <v>0.9233543733092876</v>
      </c>
      <c r="I9" s="47">
        <f t="shared" si="8"/>
        <v>7.2021641118124418</v>
      </c>
      <c r="J9" s="48">
        <f t="shared" si="1"/>
        <v>7.2</v>
      </c>
      <c r="K9" s="48">
        <f t="shared" si="9"/>
        <v>18.935978358881876</v>
      </c>
    </row>
    <row r="10" spans="1:11" x14ac:dyDescent="0.25">
      <c r="A10" s="49">
        <f t="shared" si="10"/>
        <v>7.8999999999999977</v>
      </c>
      <c r="B10" s="6">
        <f t="shared" si="2"/>
        <v>2.0431034482758617</v>
      </c>
      <c r="C10" s="7">
        <f t="shared" si="3"/>
        <v>2535</v>
      </c>
      <c r="D10" s="7">
        <f t="shared" si="4"/>
        <v>2246</v>
      </c>
      <c r="E10" s="7">
        <f t="shared" si="5"/>
        <v>2247</v>
      </c>
      <c r="F10" s="8">
        <f t="shared" si="6"/>
        <v>2247.1111111111104</v>
      </c>
      <c r="G10" s="9">
        <f t="shared" si="7"/>
        <v>4.9446202531614108E-2</v>
      </c>
      <c r="H10" s="47">
        <f t="shared" si="0"/>
        <v>0.91184327693677647</v>
      </c>
      <c r="I10" s="47">
        <f t="shared" si="8"/>
        <v>7.2035618878005323</v>
      </c>
      <c r="J10" s="48">
        <f t="shared" si="1"/>
        <v>7.2</v>
      </c>
      <c r="K10" s="48">
        <f t="shared" si="9"/>
        <v>18.699910952804988</v>
      </c>
    </row>
    <row r="11" spans="1:11" x14ac:dyDescent="0.25">
      <c r="A11" s="49">
        <f t="shared" si="10"/>
        <v>7.9999999999999973</v>
      </c>
      <c r="B11" s="6">
        <f>$A11*$B$1</f>
        <v>2.0689655172413786</v>
      </c>
      <c r="C11" s="7">
        <f>ROUNDDOWN($B11/3.3*4096,0)</f>
        <v>2568</v>
      </c>
      <c r="D11" s="7">
        <f>ROUND(3.3/14.4/$B$1*$C11,0)</f>
        <v>2276</v>
      </c>
      <c r="E11" s="7">
        <f t="shared" si="5"/>
        <v>2276</v>
      </c>
      <c r="F11" s="8">
        <f>2048/7.2*$A11</f>
        <v>2275.5555555555547</v>
      </c>
      <c r="G11" s="9">
        <f>($F11-$D11)/$F11*100</f>
        <v>-1.9531250000035534E-2</v>
      </c>
      <c r="H11" s="47">
        <f t="shared" ref="H11:H20" si="11">2048/$D11</f>
        <v>0.89982425307557112</v>
      </c>
      <c r="I11" s="47">
        <f>$A11*$H11</f>
        <v>7.1985940246045663</v>
      </c>
      <c r="J11" s="48">
        <f t="shared" ref="J11:J20" si="12">ROUND($I11,2)</f>
        <v>7.2</v>
      </c>
      <c r="K11" s="48">
        <f t="shared" si="9"/>
        <v>18.453427065026361</v>
      </c>
    </row>
    <row r="12" spans="1:11" x14ac:dyDescent="0.25">
      <c r="A12" s="49">
        <f>A11+0.1</f>
        <v>8.0999999999999979</v>
      </c>
      <c r="B12" s="6">
        <f t="shared" ref="B12:B20" si="13">$A12*$B$1</f>
        <v>2.0948275862068964</v>
      </c>
      <c r="C12" s="7">
        <f t="shared" ref="C12:C20" si="14">ROUNDDOWN($B12/3.3*4096,0)</f>
        <v>2600</v>
      </c>
      <c r="D12" s="7">
        <f t="shared" ref="D12:D59" si="15">ROUND(3.3/14.4/$B$1*$C12,0)</f>
        <v>2304</v>
      </c>
      <c r="E12" s="7">
        <f t="shared" si="5"/>
        <v>2304</v>
      </c>
      <c r="F12" s="8">
        <f t="shared" ref="F12:F59" si="16">2048/7.2*$A12</f>
        <v>2303.9999999999995</v>
      </c>
      <c r="G12" s="9">
        <f t="shared" ref="G12:G20" si="17">($F12-$D12)/$F12*100</f>
        <v>-1.9737298215558341E-14</v>
      </c>
      <c r="H12" s="47">
        <f t="shared" si="11"/>
        <v>0.88888888888888884</v>
      </c>
      <c r="I12" s="47">
        <f t="shared" ref="I12:I20" si="18">$A12*$H12</f>
        <v>7.1999999999999975</v>
      </c>
      <c r="J12" s="48">
        <f t="shared" si="12"/>
        <v>7.2</v>
      </c>
      <c r="K12" s="48">
        <f t="shared" si="9"/>
        <v>18.229166666666668</v>
      </c>
    </row>
    <row r="13" spans="1:11" x14ac:dyDescent="0.25">
      <c r="A13" s="49">
        <f t="shared" ref="A13:A21" si="19">A12+0.1</f>
        <v>8.1999999999999975</v>
      </c>
      <c r="B13" s="6">
        <f t="shared" si="13"/>
        <v>2.1206896551724133</v>
      </c>
      <c r="C13" s="7">
        <f t="shared" si="14"/>
        <v>2632</v>
      </c>
      <c r="D13" s="7">
        <f t="shared" si="15"/>
        <v>2332</v>
      </c>
      <c r="E13" s="7">
        <f t="shared" si="5"/>
        <v>2332</v>
      </c>
      <c r="F13" s="8">
        <f t="shared" si="16"/>
        <v>2332.4444444444439</v>
      </c>
      <c r="G13" s="9">
        <f t="shared" si="17"/>
        <v>1.9054878048756663E-2</v>
      </c>
      <c r="H13" s="47">
        <f t="shared" si="11"/>
        <v>0.87821612349914235</v>
      </c>
      <c r="I13" s="47">
        <f t="shared" si="18"/>
        <v>7.2013722126929647</v>
      </c>
      <c r="J13" s="48">
        <f t="shared" si="12"/>
        <v>7.2</v>
      </c>
      <c r="K13" s="48">
        <f t="shared" si="9"/>
        <v>18.010291595197256</v>
      </c>
    </row>
    <row r="14" spans="1:11" x14ac:dyDescent="0.25">
      <c r="A14" s="49">
        <f t="shared" si="19"/>
        <v>8.2999999999999972</v>
      </c>
      <c r="B14" s="6">
        <f t="shared" si="13"/>
        <v>2.1465517241379306</v>
      </c>
      <c r="C14" s="7">
        <f t="shared" si="14"/>
        <v>2664</v>
      </c>
      <c r="D14" s="7">
        <f t="shared" si="15"/>
        <v>2361</v>
      </c>
      <c r="E14" s="7">
        <f t="shared" si="5"/>
        <v>2361</v>
      </c>
      <c r="F14" s="8">
        <f t="shared" si="16"/>
        <v>2360.8888888888882</v>
      </c>
      <c r="G14" s="9">
        <f t="shared" si="17"/>
        <v>-4.7063253012326429E-3</v>
      </c>
      <c r="H14" s="47">
        <f t="shared" si="11"/>
        <v>0.86742905548496396</v>
      </c>
      <c r="I14" s="47">
        <f t="shared" si="18"/>
        <v>7.1996611605251983</v>
      </c>
      <c r="J14" s="48">
        <f t="shared" si="12"/>
        <v>7.2</v>
      </c>
      <c r="K14" s="48">
        <f t="shared" si="9"/>
        <v>17.789072426937739</v>
      </c>
    </row>
    <row r="15" spans="1:11" x14ac:dyDescent="0.25">
      <c r="A15" s="49">
        <f t="shared" si="19"/>
        <v>8.3999999999999968</v>
      </c>
      <c r="B15" s="6">
        <f t="shared" si="13"/>
        <v>2.1724137931034475</v>
      </c>
      <c r="C15" s="7">
        <f t="shared" si="14"/>
        <v>2696</v>
      </c>
      <c r="D15" s="7">
        <f t="shared" si="15"/>
        <v>2389</v>
      </c>
      <c r="E15" s="7">
        <f t="shared" si="5"/>
        <v>2389</v>
      </c>
      <c r="F15" s="8">
        <f t="shared" si="16"/>
        <v>2389.3333333333326</v>
      </c>
      <c r="G15" s="9">
        <f t="shared" si="17"/>
        <v>1.395089285711114E-2</v>
      </c>
      <c r="H15" s="47">
        <f t="shared" si="11"/>
        <v>0.85726245290916703</v>
      </c>
      <c r="I15" s="47">
        <f t="shared" si="18"/>
        <v>7.2010046044370002</v>
      </c>
      <c r="J15" s="48">
        <f t="shared" si="12"/>
        <v>7.2</v>
      </c>
      <c r="K15" s="48">
        <f t="shared" si="9"/>
        <v>17.580577647551276</v>
      </c>
    </row>
    <row r="16" spans="1:11" x14ac:dyDescent="0.25">
      <c r="A16" s="49">
        <f t="shared" si="19"/>
        <v>8.4999999999999964</v>
      </c>
      <c r="B16" s="6">
        <f t="shared" si="13"/>
        <v>2.1982758620689649</v>
      </c>
      <c r="C16" s="7">
        <f t="shared" si="14"/>
        <v>2728</v>
      </c>
      <c r="D16" s="7">
        <f t="shared" si="15"/>
        <v>2417</v>
      </c>
      <c r="E16" s="7">
        <f t="shared" si="5"/>
        <v>2418</v>
      </c>
      <c r="F16" s="8">
        <f t="shared" si="16"/>
        <v>2417.7777777777769</v>
      </c>
      <c r="G16" s="9">
        <f t="shared" si="17"/>
        <v>3.2169117647023307E-2</v>
      </c>
      <c r="H16" s="47">
        <f t="shared" si="11"/>
        <v>0.84733140256516337</v>
      </c>
      <c r="I16" s="47">
        <f t="shared" si="18"/>
        <v>7.2023169218038854</v>
      </c>
      <c r="J16" s="48">
        <f t="shared" si="12"/>
        <v>7.2</v>
      </c>
      <c r="K16" s="48">
        <f t="shared" si="9"/>
        <v>17.376913529168391</v>
      </c>
    </row>
    <row r="17" spans="1:11" x14ac:dyDescent="0.25">
      <c r="A17" s="49">
        <f t="shared" si="19"/>
        <v>8.5999999999999961</v>
      </c>
      <c r="B17" s="6">
        <f t="shared" si="13"/>
        <v>2.2241379310344818</v>
      </c>
      <c r="C17" s="7">
        <f t="shared" si="14"/>
        <v>2760</v>
      </c>
      <c r="D17" s="7">
        <f t="shared" si="15"/>
        <v>2446</v>
      </c>
      <c r="E17" s="7">
        <f t="shared" si="5"/>
        <v>2446</v>
      </c>
      <c r="F17" s="8">
        <f t="shared" si="16"/>
        <v>2446.2222222222213</v>
      </c>
      <c r="G17" s="9">
        <f t="shared" si="17"/>
        <v>9.0843023255421547E-3</v>
      </c>
      <c r="H17" s="47">
        <f t="shared" si="11"/>
        <v>0.83728536385936225</v>
      </c>
      <c r="I17" s="47">
        <f t="shared" si="18"/>
        <v>7.2006541291905117</v>
      </c>
      <c r="J17" s="48">
        <f t="shared" si="12"/>
        <v>7.2</v>
      </c>
      <c r="K17" s="48">
        <f t="shared" si="9"/>
        <v>17.170891251022077</v>
      </c>
    </row>
    <row r="18" spans="1:11" x14ac:dyDescent="0.25">
      <c r="A18" s="49">
        <f t="shared" si="19"/>
        <v>8.6999999999999957</v>
      </c>
      <c r="B18" s="6">
        <f t="shared" si="13"/>
        <v>2.2499999999999991</v>
      </c>
      <c r="C18" s="7">
        <f t="shared" si="14"/>
        <v>2792</v>
      </c>
      <c r="D18" s="7">
        <f t="shared" si="15"/>
        <v>2474</v>
      </c>
      <c r="E18" s="7">
        <f t="shared" si="5"/>
        <v>2475</v>
      </c>
      <c r="F18" s="8">
        <f t="shared" si="16"/>
        <v>2474.6666666666656</v>
      </c>
      <c r="G18" s="9">
        <f t="shared" si="17"/>
        <v>2.693965517237093E-2</v>
      </c>
      <c r="H18" s="47">
        <f t="shared" si="11"/>
        <v>0.82780921584478573</v>
      </c>
      <c r="I18" s="47">
        <f t="shared" si="18"/>
        <v>7.2019401778496324</v>
      </c>
      <c r="J18" s="48">
        <f t="shared" si="12"/>
        <v>7.2</v>
      </c>
      <c r="K18" s="48">
        <f t="shared" si="9"/>
        <v>16.976556184316895</v>
      </c>
    </row>
    <row r="19" spans="1:11" x14ac:dyDescent="0.25">
      <c r="A19" s="49">
        <f t="shared" si="19"/>
        <v>8.7999999999999954</v>
      </c>
      <c r="B19" s="6">
        <f t="shared" si="13"/>
        <v>2.275862068965516</v>
      </c>
      <c r="C19" s="7">
        <f t="shared" si="14"/>
        <v>2824</v>
      </c>
      <c r="D19" s="7">
        <f t="shared" si="15"/>
        <v>2502</v>
      </c>
      <c r="E19" s="7">
        <f t="shared" si="5"/>
        <v>2503</v>
      </c>
      <c r="F19" s="8">
        <f t="shared" si="16"/>
        <v>2503.1111111111099</v>
      </c>
      <c r="G19" s="9">
        <f t="shared" si="17"/>
        <v>4.4389204545408137E-2</v>
      </c>
      <c r="H19" s="47">
        <f t="shared" si="11"/>
        <v>0.81854516386890486</v>
      </c>
      <c r="I19" s="47">
        <f t="shared" si="18"/>
        <v>7.2031974420463589</v>
      </c>
      <c r="J19" s="48">
        <f t="shared" si="12"/>
        <v>7.2</v>
      </c>
      <c r="K19" s="48">
        <f t="shared" si="9"/>
        <v>16.786570743405274</v>
      </c>
    </row>
    <row r="20" spans="1:11" x14ac:dyDescent="0.25">
      <c r="A20" s="49">
        <f t="shared" si="19"/>
        <v>8.899999999999995</v>
      </c>
      <c r="B20" s="6">
        <f t="shared" si="13"/>
        <v>2.3017241379310334</v>
      </c>
      <c r="C20" s="7">
        <f t="shared" si="14"/>
        <v>2856</v>
      </c>
      <c r="D20" s="7">
        <f t="shared" si="15"/>
        <v>2531</v>
      </c>
      <c r="E20" s="7">
        <f t="shared" si="5"/>
        <v>2532</v>
      </c>
      <c r="F20" s="8">
        <f t="shared" si="16"/>
        <v>2531.5555555555543</v>
      </c>
      <c r="G20" s="9">
        <f t="shared" si="17"/>
        <v>2.1945224719051235E-2</v>
      </c>
      <c r="H20" s="47">
        <f t="shared" si="11"/>
        <v>0.80916633741604105</v>
      </c>
      <c r="I20" s="47">
        <f t="shared" si="18"/>
        <v>7.2015804030027617</v>
      </c>
      <c r="J20" s="48">
        <f t="shared" si="12"/>
        <v>7.2</v>
      </c>
      <c r="K20" s="48">
        <f t="shared" si="9"/>
        <v>16.594231529039906</v>
      </c>
    </row>
    <row r="21" spans="1:11" x14ac:dyDescent="0.25">
      <c r="A21" s="58">
        <f t="shared" si="19"/>
        <v>8.9999999999999947</v>
      </c>
      <c r="B21" s="11">
        <f>$A21*$B$1</f>
        <v>2.3275862068965507</v>
      </c>
      <c r="C21" s="12">
        <f>ROUNDDOWN($B21/3.3*4096,0)</f>
        <v>2889</v>
      </c>
      <c r="D21" s="12">
        <f t="shared" si="15"/>
        <v>2560</v>
      </c>
      <c r="E21" s="12">
        <f t="shared" si="5"/>
        <v>2560</v>
      </c>
      <c r="F21" s="13">
        <f t="shared" si="16"/>
        <v>2559.9999999999986</v>
      </c>
      <c r="G21" s="14">
        <f>($F21-$D21)/$F21*100</f>
        <v>-5.3290705182007539E-14</v>
      </c>
      <c r="H21" s="39">
        <f t="shared" ref="H21:H40" si="20">2048/$D21</f>
        <v>0.8</v>
      </c>
      <c r="I21" s="39">
        <f>$A21*$H21</f>
        <v>7.1999999999999957</v>
      </c>
      <c r="J21" s="40">
        <f t="shared" ref="J21:J23" si="21">ROUND($I21,2)</f>
        <v>7.2</v>
      </c>
      <c r="K21" s="40">
        <f t="shared" si="9"/>
        <v>16.40625</v>
      </c>
    </row>
    <row r="22" spans="1:11" x14ac:dyDescent="0.25">
      <c r="A22" s="10">
        <f>A21+0.1</f>
        <v>9.0999999999999943</v>
      </c>
      <c r="B22" s="11">
        <f t="shared" ref="B22:B59" si="22">$A22*$B$1</f>
        <v>2.3534482758620676</v>
      </c>
      <c r="C22" s="12">
        <f t="shared" ref="C22:C59" si="23">ROUNDDOWN($B22/3.3*4096,0)</f>
        <v>2921</v>
      </c>
      <c r="D22" s="12">
        <f t="shared" si="15"/>
        <v>2588</v>
      </c>
      <c r="E22" s="12">
        <f t="shared" si="5"/>
        <v>2588</v>
      </c>
      <c r="F22" s="13">
        <f t="shared" si="16"/>
        <v>2588.444444444443</v>
      </c>
      <c r="G22" s="14">
        <f t="shared" ref="G22:G59" si="24">($F22-$D22)/$F22*100</f>
        <v>1.7170329670273071E-2</v>
      </c>
      <c r="H22" s="39">
        <f t="shared" si="20"/>
        <v>0.79134466769706335</v>
      </c>
      <c r="I22" s="39">
        <f t="shared" ref="I22:I59" si="25">$A22*$H22</f>
        <v>7.2012364760432721</v>
      </c>
      <c r="J22" s="40">
        <f t="shared" si="21"/>
        <v>7.2</v>
      </c>
      <c r="K22" s="40">
        <f t="shared" si="9"/>
        <v>16.228748068006183</v>
      </c>
    </row>
    <row r="23" spans="1:11" x14ac:dyDescent="0.25">
      <c r="A23" s="10">
        <f t="shared" ref="A23:A34" si="26">A22+0.1</f>
        <v>9.199999999999994</v>
      </c>
      <c r="B23" s="11">
        <f t="shared" si="22"/>
        <v>2.379310344827585</v>
      </c>
      <c r="C23" s="12">
        <f t="shared" si="23"/>
        <v>2953</v>
      </c>
      <c r="D23" s="12">
        <f t="shared" si="15"/>
        <v>2617</v>
      </c>
      <c r="E23" s="12">
        <f t="shared" si="5"/>
        <v>2617</v>
      </c>
      <c r="F23" s="13">
        <f t="shared" si="16"/>
        <v>2616.8888888888873</v>
      </c>
      <c r="G23" s="14">
        <f t="shared" si="24"/>
        <v>-4.2459239131033364E-3</v>
      </c>
      <c r="H23" s="39">
        <f t="shared" si="20"/>
        <v>0.78257546809323653</v>
      </c>
      <c r="I23" s="39">
        <f t="shared" si="25"/>
        <v>7.1996943064577712</v>
      </c>
      <c r="J23" s="40">
        <f t="shared" si="21"/>
        <v>7.2</v>
      </c>
      <c r="K23" s="40">
        <f t="shared" si="9"/>
        <v>16.048910966755827</v>
      </c>
    </row>
    <row r="24" spans="1:11" x14ac:dyDescent="0.25">
      <c r="A24" s="10">
        <f t="shared" si="26"/>
        <v>9.2999999999999936</v>
      </c>
      <c r="B24" s="11">
        <f t="shared" si="22"/>
        <v>2.4051724137931019</v>
      </c>
      <c r="C24" s="12">
        <f t="shared" si="23"/>
        <v>2985</v>
      </c>
      <c r="D24" s="12">
        <f t="shared" si="15"/>
        <v>2645</v>
      </c>
      <c r="E24" s="12">
        <f t="shared" si="5"/>
        <v>2645</v>
      </c>
      <c r="F24" s="13">
        <f t="shared" si="16"/>
        <v>2645.3333333333317</v>
      </c>
      <c r="G24" s="14">
        <f t="shared" si="24"/>
        <v>1.2600806451549878E-2</v>
      </c>
      <c r="H24" s="39">
        <f t="shared" si="20"/>
        <v>0.77429111531190931</v>
      </c>
      <c r="I24" s="39">
        <f t="shared" si="25"/>
        <v>7.200907372400752</v>
      </c>
      <c r="J24" s="40">
        <f>ROUND($I24,2)</f>
        <v>7.2</v>
      </c>
      <c r="K24" s="40">
        <f t="shared" si="9"/>
        <v>15.879017013232515</v>
      </c>
    </row>
    <row r="25" spans="1:11" x14ac:dyDescent="0.25">
      <c r="A25" s="10">
        <f t="shared" si="26"/>
        <v>9.3999999999999932</v>
      </c>
      <c r="B25" s="11">
        <f t="shared" si="22"/>
        <v>2.4310344827586192</v>
      </c>
      <c r="C25" s="12">
        <f t="shared" si="23"/>
        <v>3017</v>
      </c>
      <c r="D25" s="12">
        <f t="shared" si="15"/>
        <v>2673</v>
      </c>
      <c r="E25" s="12">
        <f t="shared" si="5"/>
        <v>2674</v>
      </c>
      <c r="F25" s="13">
        <f t="shared" si="16"/>
        <v>2673.777777777776</v>
      </c>
      <c r="G25" s="14">
        <f t="shared" si="24"/>
        <v>2.908909574461473E-2</v>
      </c>
      <c r="H25" s="39">
        <f t="shared" si="20"/>
        <v>0.76618032173587725</v>
      </c>
      <c r="I25" s="39">
        <f t="shared" si="25"/>
        <v>7.2020950243172406</v>
      </c>
      <c r="J25" s="40">
        <f t="shared" ref="J25:J59" si="27">ROUND($I25,2)</f>
        <v>7.2</v>
      </c>
      <c r="K25" s="40">
        <f t="shared" si="9"/>
        <v>15.712682379349046</v>
      </c>
    </row>
    <row r="26" spans="1:11" x14ac:dyDescent="0.25">
      <c r="A26" s="10">
        <f t="shared" si="26"/>
        <v>9.4999999999999929</v>
      </c>
      <c r="B26" s="11">
        <f t="shared" si="22"/>
        <v>2.4568965517241361</v>
      </c>
      <c r="C26" s="12">
        <f t="shared" si="23"/>
        <v>3049</v>
      </c>
      <c r="D26" s="12">
        <f t="shared" si="15"/>
        <v>2702</v>
      </c>
      <c r="E26" s="12">
        <f t="shared" si="5"/>
        <v>2702</v>
      </c>
      <c r="F26" s="13">
        <f t="shared" si="16"/>
        <v>2702.2222222222204</v>
      </c>
      <c r="G26" s="14">
        <f t="shared" si="24"/>
        <v>8.2236842104571363E-3</v>
      </c>
      <c r="H26" s="39">
        <f t="shared" si="20"/>
        <v>0.75795706883789782</v>
      </c>
      <c r="I26" s="39">
        <f t="shared" si="25"/>
        <v>7.2005921539600237</v>
      </c>
      <c r="J26" s="40">
        <f t="shared" si="27"/>
        <v>7.2</v>
      </c>
      <c r="K26" s="40">
        <f t="shared" si="9"/>
        <v>15.544041450777202</v>
      </c>
    </row>
    <row r="27" spans="1:11" x14ac:dyDescent="0.25">
      <c r="A27" s="10">
        <f t="shared" si="26"/>
        <v>9.5999999999999925</v>
      </c>
      <c r="B27" s="11">
        <f t="shared" si="22"/>
        <v>2.4827586206896535</v>
      </c>
      <c r="C27" s="12">
        <f t="shared" si="23"/>
        <v>3081</v>
      </c>
      <c r="D27" s="12">
        <f t="shared" si="15"/>
        <v>2730</v>
      </c>
      <c r="E27" s="12">
        <f t="shared" si="5"/>
        <v>2731</v>
      </c>
      <c r="F27" s="13">
        <f t="shared" si="16"/>
        <v>2730.6666666666647</v>
      </c>
      <c r="G27" s="14">
        <f t="shared" si="24"/>
        <v>2.4414062499927853E-2</v>
      </c>
      <c r="H27" s="39">
        <f t="shared" si="20"/>
        <v>0.75018315018315018</v>
      </c>
      <c r="I27" s="39">
        <f t="shared" si="25"/>
        <v>7.2017582417582364</v>
      </c>
      <c r="J27" s="40">
        <f t="shared" si="27"/>
        <v>7.2</v>
      </c>
      <c r="K27" s="40">
        <f t="shared" si="9"/>
        <v>15.384615384615385</v>
      </c>
    </row>
    <row r="28" spans="1:11" x14ac:dyDescent="0.25">
      <c r="A28" s="10">
        <f t="shared" si="26"/>
        <v>9.6999999999999922</v>
      </c>
      <c r="B28" s="11">
        <f t="shared" si="22"/>
        <v>2.5086206896551704</v>
      </c>
      <c r="C28" s="12">
        <f t="shared" si="23"/>
        <v>3113</v>
      </c>
      <c r="D28" s="12">
        <f t="shared" si="15"/>
        <v>2758</v>
      </c>
      <c r="E28" s="12">
        <f t="shared" si="5"/>
        <v>2759</v>
      </c>
      <c r="F28" s="13">
        <f t="shared" si="16"/>
        <v>2759.111111111109</v>
      </c>
      <c r="G28" s="14">
        <f t="shared" si="24"/>
        <v>4.0270618556625982E-2</v>
      </c>
      <c r="H28" s="39">
        <f t="shared" si="20"/>
        <v>0.74256707759245832</v>
      </c>
      <c r="I28" s="39">
        <f t="shared" si="25"/>
        <v>7.2029006526468402</v>
      </c>
      <c r="J28" s="40">
        <f t="shared" si="27"/>
        <v>7.2</v>
      </c>
      <c r="K28" s="40">
        <f t="shared" si="9"/>
        <v>15.228426395939087</v>
      </c>
    </row>
    <row r="29" spans="1:11" x14ac:dyDescent="0.25">
      <c r="A29" s="10">
        <f t="shared" si="26"/>
        <v>9.7999999999999918</v>
      </c>
      <c r="B29" s="11">
        <f t="shared" si="22"/>
        <v>2.5344827586206877</v>
      </c>
      <c r="C29" s="12">
        <f t="shared" si="23"/>
        <v>3145</v>
      </c>
      <c r="D29" s="12">
        <f t="shared" si="15"/>
        <v>2787</v>
      </c>
      <c r="E29" s="12">
        <f t="shared" si="5"/>
        <v>2788</v>
      </c>
      <c r="F29" s="13">
        <f t="shared" si="16"/>
        <v>2787.5555555555534</v>
      </c>
      <c r="G29" s="14">
        <f t="shared" si="24"/>
        <v>1.9929846938697583E-2</v>
      </c>
      <c r="H29" s="39">
        <f t="shared" si="20"/>
        <v>0.73484033010405458</v>
      </c>
      <c r="I29" s="39">
        <f t="shared" si="25"/>
        <v>7.201435235019729</v>
      </c>
      <c r="J29" s="40">
        <f t="shared" si="27"/>
        <v>7.2</v>
      </c>
      <c r="K29" s="40">
        <f t="shared" si="9"/>
        <v>15.069967707212056</v>
      </c>
    </row>
    <row r="30" spans="1:11" x14ac:dyDescent="0.25">
      <c r="A30" s="10">
        <f t="shared" si="26"/>
        <v>9.8999999999999915</v>
      </c>
      <c r="B30" s="11">
        <f t="shared" si="22"/>
        <v>2.5603448275862051</v>
      </c>
      <c r="C30" s="12">
        <f t="shared" si="23"/>
        <v>3177</v>
      </c>
      <c r="D30" s="12">
        <f t="shared" si="15"/>
        <v>2815</v>
      </c>
      <c r="E30" s="12">
        <f t="shared" si="5"/>
        <v>2816</v>
      </c>
      <c r="F30" s="13">
        <f t="shared" si="16"/>
        <v>2815.9999999999977</v>
      </c>
      <c r="G30" s="14">
        <f t="shared" si="24"/>
        <v>3.5511363636282926E-2</v>
      </c>
      <c r="H30" s="39">
        <f t="shared" si="20"/>
        <v>0.72753108348134987</v>
      </c>
      <c r="I30" s="39">
        <f t="shared" si="25"/>
        <v>7.2025577264653577</v>
      </c>
      <c r="J30" s="40">
        <f t="shared" si="27"/>
        <v>7.2</v>
      </c>
      <c r="K30" s="40">
        <f t="shared" si="9"/>
        <v>14.920071047957371</v>
      </c>
    </row>
    <row r="31" spans="1:11" x14ac:dyDescent="0.25">
      <c r="A31" s="10">
        <f t="shared" si="26"/>
        <v>9.9999999999999911</v>
      </c>
      <c r="B31" s="11">
        <f t="shared" si="22"/>
        <v>2.586206896551722</v>
      </c>
      <c r="C31" s="12">
        <f t="shared" si="23"/>
        <v>3210</v>
      </c>
      <c r="D31" s="12">
        <f t="shared" si="15"/>
        <v>2844</v>
      </c>
      <c r="E31" s="12">
        <f t="shared" si="5"/>
        <v>2844</v>
      </c>
      <c r="F31" s="13">
        <f t="shared" si="16"/>
        <v>2844.4444444444421</v>
      </c>
      <c r="G31" s="14">
        <f t="shared" si="24"/>
        <v>1.5624999999916525E-2</v>
      </c>
      <c r="H31" s="39">
        <f t="shared" si="20"/>
        <v>0.72011251758087202</v>
      </c>
      <c r="I31" s="39">
        <f t="shared" si="25"/>
        <v>7.2011251758087136</v>
      </c>
      <c r="J31" s="40">
        <f t="shared" si="27"/>
        <v>7.2</v>
      </c>
      <c r="K31" s="40">
        <f t="shared" si="9"/>
        <v>14.767932489451477</v>
      </c>
    </row>
    <row r="32" spans="1:11" x14ac:dyDescent="0.25">
      <c r="A32" s="10">
        <f t="shared" si="26"/>
        <v>10.099999999999991</v>
      </c>
      <c r="B32" s="11">
        <f t="shared" si="22"/>
        <v>2.6120689655172393</v>
      </c>
      <c r="C32" s="12">
        <f t="shared" si="23"/>
        <v>3242</v>
      </c>
      <c r="D32" s="12">
        <f t="shared" si="15"/>
        <v>2873</v>
      </c>
      <c r="E32" s="12">
        <f t="shared" si="5"/>
        <v>2873</v>
      </c>
      <c r="F32" s="13">
        <f t="shared" si="16"/>
        <v>2872.8888888888864</v>
      </c>
      <c r="G32" s="14">
        <f t="shared" si="24"/>
        <v>-3.8675742575119258E-3</v>
      </c>
      <c r="H32" s="39">
        <f t="shared" si="20"/>
        <v>0.7128437173686043</v>
      </c>
      <c r="I32" s="39">
        <f t="shared" si="25"/>
        <v>7.1997215454228964</v>
      </c>
      <c r="J32" s="40">
        <f t="shared" si="27"/>
        <v>7.2</v>
      </c>
      <c r="K32" s="40">
        <f t="shared" si="9"/>
        <v>14.61886529759833</v>
      </c>
    </row>
    <row r="33" spans="1:11" x14ac:dyDescent="0.25">
      <c r="A33" s="15">
        <f t="shared" si="26"/>
        <v>10.19999999999999</v>
      </c>
      <c r="B33" s="16">
        <f t="shared" si="22"/>
        <v>2.6379310344827562</v>
      </c>
      <c r="C33" s="17">
        <f t="shared" si="23"/>
        <v>3274</v>
      </c>
      <c r="D33" s="17">
        <f t="shared" si="15"/>
        <v>2901</v>
      </c>
      <c r="E33" s="17">
        <f t="shared" si="5"/>
        <v>2901</v>
      </c>
      <c r="F33" s="18">
        <f t="shared" si="16"/>
        <v>2901.3333333333308</v>
      </c>
      <c r="G33" s="19">
        <f t="shared" si="24"/>
        <v>1.1488970588146488E-2</v>
      </c>
      <c r="H33" s="41">
        <f t="shared" si="20"/>
        <v>0.70596346087556017</v>
      </c>
      <c r="I33" s="41">
        <f t="shared" si="25"/>
        <v>7.2008273009307073</v>
      </c>
      <c r="J33" s="42">
        <f t="shared" si="27"/>
        <v>7.2</v>
      </c>
      <c r="K33" s="42">
        <f t="shared" si="9"/>
        <v>14.477766287487073</v>
      </c>
    </row>
    <row r="34" spans="1:11" x14ac:dyDescent="0.25">
      <c r="A34" s="15">
        <f t="shared" si="26"/>
        <v>10.29999999999999</v>
      </c>
      <c r="B34" s="16">
        <f t="shared" si="22"/>
        <v>2.6637931034482736</v>
      </c>
      <c r="C34" s="17">
        <f t="shared" si="23"/>
        <v>3306</v>
      </c>
      <c r="D34" s="17">
        <f t="shared" si="15"/>
        <v>2929</v>
      </c>
      <c r="E34" s="17">
        <f t="shared" si="5"/>
        <v>2930</v>
      </c>
      <c r="F34" s="18">
        <f t="shared" si="16"/>
        <v>2929.7777777777751</v>
      </c>
      <c r="G34" s="19">
        <f t="shared" si="24"/>
        <v>2.6547330096995995E-2</v>
      </c>
      <c r="H34" s="41">
        <f t="shared" si="20"/>
        <v>0.69921474906111303</v>
      </c>
      <c r="I34" s="41">
        <f t="shared" si="25"/>
        <v>7.2019119153294575</v>
      </c>
      <c r="J34" s="42">
        <f t="shared" si="27"/>
        <v>7.2</v>
      </c>
      <c r="K34" s="42">
        <f t="shared" si="9"/>
        <v>14.339364970979856</v>
      </c>
    </row>
    <row r="35" spans="1:11" x14ac:dyDescent="0.25">
      <c r="A35" s="15">
        <f t="shared" ref="A35:A37" si="28">A34+0.1</f>
        <v>10.39999999999999</v>
      </c>
      <c r="B35" s="16">
        <f t="shared" si="22"/>
        <v>2.6896551724137905</v>
      </c>
      <c r="C35" s="17">
        <f t="shared" si="23"/>
        <v>3338</v>
      </c>
      <c r="D35" s="17">
        <f t="shared" si="15"/>
        <v>2958</v>
      </c>
      <c r="E35" s="17">
        <f t="shared" si="5"/>
        <v>2958</v>
      </c>
      <c r="F35" s="18">
        <f t="shared" si="16"/>
        <v>2958.2222222222194</v>
      </c>
      <c r="G35" s="19">
        <f t="shared" si="24"/>
        <v>7.5120192306752957E-3</v>
      </c>
      <c r="H35" s="41">
        <f t="shared" si="20"/>
        <v>0.69235970250169032</v>
      </c>
      <c r="I35" s="41">
        <f t="shared" si="25"/>
        <v>7.2005409060175722</v>
      </c>
      <c r="J35" s="42">
        <f t="shared" si="27"/>
        <v>7.2</v>
      </c>
      <c r="K35" s="42">
        <f t="shared" si="9"/>
        <v>14.198782961460447</v>
      </c>
    </row>
    <row r="36" spans="1:11" x14ac:dyDescent="0.25">
      <c r="A36" s="15">
        <f t="shared" si="28"/>
        <v>10.499999999999989</v>
      </c>
      <c r="B36" s="16">
        <f t="shared" si="22"/>
        <v>2.7155172413793078</v>
      </c>
      <c r="C36" s="17">
        <f t="shared" si="23"/>
        <v>3370</v>
      </c>
      <c r="D36" s="17">
        <f t="shared" si="15"/>
        <v>2986</v>
      </c>
      <c r="E36" s="17">
        <f t="shared" si="5"/>
        <v>2987</v>
      </c>
      <c r="F36" s="18">
        <f t="shared" si="16"/>
        <v>2986.6666666666638</v>
      </c>
      <c r="G36" s="19">
        <f t="shared" si="24"/>
        <v>2.2321428571332163E-2</v>
      </c>
      <c r="H36" s="41">
        <f t="shared" si="20"/>
        <v>0.6858673811118553</v>
      </c>
      <c r="I36" s="41">
        <f t="shared" si="25"/>
        <v>7.2016075016744736</v>
      </c>
      <c r="J36" s="42">
        <f t="shared" si="27"/>
        <v>7.2</v>
      </c>
      <c r="K36" s="42">
        <f t="shared" si="9"/>
        <v>14.06563965170797</v>
      </c>
    </row>
    <row r="37" spans="1:11" x14ac:dyDescent="0.25">
      <c r="A37" s="15">
        <f t="shared" si="28"/>
        <v>10.599999999999989</v>
      </c>
      <c r="B37" s="16">
        <f t="shared" si="22"/>
        <v>2.7413793103448247</v>
      </c>
      <c r="C37" s="17">
        <f t="shared" si="23"/>
        <v>3402</v>
      </c>
      <c r="D37" s="17">
        <f t="shared" si="15"/>
        <v>3015</v>
      </c>
      <c r="E37" s="17">
        <f t="shared" si="5"/>
        <v>3015</v>
      </c>
      <c r="F37" s="18">
        <f t="shared" si="16"/>
        <v>3015.1111111111081</v>
      </c>
      <c r="G37" s="19">
        <f t="shared" si="24"/>
        <v>3.685141509335093E-3</v>
      </c>
      <c r="H37" s="41">
        <f t="shared" si="20"/>
        <v>0.67927031509121061</v>
      </c>
      <c r="I37" s="41">
        <f t="shared" si="25"/>
        <v>7.2002653399668253</v>
      </c>
      <c r="J37" s="42">
        <f t="shared" si="27"/>
        <v>7.2</v>
      </c>
      <c r="K37" s="42">
        <f t="shared" si="9"/>
        <v>13.930348258706468</v>
      </c>
    </row>
    <row r="38" spans="1:11" x14ac:dyDescent="0.25">
      <c r="A38" s="15">
        <f t="shared" ref="A38:A41" si="29">A37+0.1</f>
        <v>10.699999999999989</v>
      </c>
      <c r="B38" s="16">
        <f t="shared" si="22"/>
        <v>2.7672413793103421</v>
      </c>
      <c r="C38" s="17">
        <f t="shared" si="23"/>
        <v>3434</v>
      </c>
      <c r="D38" s="17">
        <f t="shared" si="15"/>
        <v>3043</v>
      </c>
      <c r="E38" s="17">
        <f t="shared" si="5"/>
        <v>3044</v>
      </c>
      <c r="F38" s="18">
        <f t="shared" si="16"/>
        <v>3043.5555555555525</v>
      </c>
      <c r="G38" s="19">
        <f t="shared" si="24"/>
        <v>1.8253504672795944E-2</v>
      </c>
      <c r="H38" s="41">
        <f t="shared" si="20"/>
        <v>0.67302004600722976</v>
      </c>
      <c r="I38" s="41">
        <f t="shared" si="25"/>
        <v>7.2013144922773504</v>
      </c>
      <c r="J38" s="42">
        <f t="shared" si="27"/>
        <v>7.2</v>
      </c>
      <c r="K38" s="42">
        <f t="shared" si="9"/>
        <v>13.80216891225764</v>
      </c>
    </row>
    <row r="39" spans="1:11" x14ac:dyDescent="0.25">
      <c r="A39" s="15">
        <f t="shared" si="29"/>
        <v>10.799999999999988</v>
      </c>
      <c r="B39" s="16">
        <f t="shared" si="22"/>
        <v>2.7931034482758594</v>
      </c>
      <c r="C39" s="17">
        <f t="shared" si="23"/>
        <v>3466</v>
      </c>
      <c r="D39" s="17">
        <f t="shared" si="15"/>
        <v>3071</v>
      </c>
      <c r="E39" s="17">
        <f t="shared" si="5"/>
        <v>3072</v>
      </c>
      <c r="F39" s="18">
        <f t="shared" si="16"/>
        <v>3071.9999999999968</v>
      </c>
      <c r="G39" s="19">
        <f t="shared" si="24"/>
        <v>3.2552083333229745E-2</v>
      </c>
      <c r="H39" s="41">
        <f t="shared" si="20"/>
        <v>0.66688375122110066</v>
      </c>
      <c r="I39" s="41">
        <f t="shared" si="25"/>
        <v>7.2023445131878789</v>
      </c>
      <c r="J39" s="42">
        <f t="shared" si="27"/>
        <v>7.2</v>
      </c>
      <c r="K39" s="42">
        <f t="shared" si="9"/>
        <v>13.676326929338977</v>
      </c>
    </row>
    <row r="40" spans="1:11" x14ac:dyDescent="0.25">
      <c r="A40" s="15">
        <f t="shared" si="29"/>
        <v>10.899999999999988</v>
      </c>
      <c r="B40" s="16">
        <f t="shared" si="22"/>
        <v>2.8189655172413763</v>
      </c>
      <c r="C40" s="17">
        <f t="shared" si="23"/>
        <v>3498</v>
      </c>
      <c r="D40" s="17">
        <f t="shared" si="15"/>
        <v>3100</v>
      </c>
      <c r="E40" s="17">
        <f t="shared" si="5"/>
        <v>3100</v>
      </c>
      <c r="F40" s="18">
        <f t="shared" si="16"/>
        <v>3100.4444444444412</v>
      </c>
      <c r="G40" s="19">
        <f t="shared" si="24"/>
        <v>1.4334862385215186E-2</v>
      </c>
      <c r="H40" s="41">
        <f t="shared" si="20"/>
        <v>0.66064516129032258</v>
      </c>
      <c r="I40" s="41">
        <f t="shared" si="25"/>
        <v>7.2010322580645081</v>
      </c>
      <c r="J40" s="42">
        <f t="shared" si="27"/>
        <v>7.2</v>
      </c>
      <c r="K40" s="42">
        <f t="shared" si="9"/>
        <v>13.548387096774194</v>
      </c>
    </row>
    <row r="41" spans="1:11" x14ac:dyDescent="0.25">
      <c r="A41" s="50">
        <f t="shared" si="29"/>
        <v>10.999999999999988</v>
      </c>
      <c r="B41" s="51">
        <f t="shared" si="22"/>
        <v>2.8448275862068937</v>
      </c>
      <c r="C41" s="52">
        <f t="shared" si="23"/>
        <v>3531</v>
      </c>
      <c r="D41" s="52">
        <f t="shared" si="15"/>
        <v>3129</v>
      </c>
      <c r="E41" s="17">
        <f t="shared" si="5"/>
        <v>3129</v>
      </c>
      <c r="F41" s="53">
        <f t="shared" si="16"/>
        <v>3128.8888888888855</v>
      </c>
      <c r="G41" s="54">
        <f t="shared" si="24"/>
        <v>-3.5511363637445634E-3</v>
      </c>
      <c r="H41" s="55">
        <f>2048/$D41</f>
        <v>0.65452221156919144</v>
      </c>
      <c r="I41" s="55">
        <f t="shared" si="25"/>
        <v>7.1997443272610973</v>
      </c>
      <c r="J41" s="54">
        <f t="shared" si="27"/>
        <v>7.2</v>
      </c>
      <c r="K41" s="42">
        <f t="shared" si="9"/>
        <v>13.422818791946309</v>
      </c>
    </row>
    <row r="42" spans="1:11" x14ac:dyDescent="0.25">
      <c r="A42" s="20">
        <v>11.1</v>
      </c>
      <c r="B42" s="21">
        <f t="shared" si="22"/>
        <v>2.8706896551724137</v>
      </c>
      <c r="C42" s="22">
        <f t="shared" si="23"/>
        <v>3563</v>
      </c>
      <c r="D42" s="22">
        <f t="shared" si="15"/>
        <v>3157</v>
      </c>
      <c r="E42" s="22">
        <f t="shared" si="5"/>
        <v>3157</v>
      </c>
      <c r="F42" s="23">
        <f t="shared" si="16"/>
        <v>3157.3333333333335</v>
      </c>
      <c r="G42" s="24">
        <f t="shared" si="24"/>
        <v>1.0557432432437234E-2</v>
      </c>
      <c r="H42" s="43">
        <f t="shared" ref="H42:H58" si="30">2048/$D42</f>
        <v>0.64871713652201457</v>
      </c>
      <c r="I42" s="43">
        <f t="shared" si="25"/>
        <v>7.2007602153943617</v>
      </c>
      <c r="J42" s="24">
        <f t="shared" si="27"/>
        <v>7.2</v>
      </c>
      <c r="K42" s="24">
        <f t="shared" si="9"/>
        <v>13.303769401330378</v>
      </c>
    </row>
    <row r="43" spans="1:11" x14ac:dyDescent="0.25">
      <c r="A43" s="15">
        <f>A42+0.1</f>
        <v>11.2</v>
      </c>
      <c r="B43" s="16">
        <f t="shared" si="22"/>
        <v>2.896551724137931</v>
      </c>
      <c r="C43" s="17">
        <f t="shared" si="23"/>
        <v>3595</v>
      </c>
      <c r="D43" s="17">
        <f t="shared" si="15"/>
        <v>3186</v>
      </c>
      <c r="E43" s="17">
        <f t="shared" si="5"/>
        <v>3186</v>
      </c>
      <c r="F43" s="18">
        <f t="shared" si="16"/>
        <v>3185.7777777777778</v>
      </c>
      <c r="G43" s="19">
        <f t="shared" si="24"/>
        <v>-6.9754464285698425E-3</v>
      </c>
      <c r="H43" s="41">
        <f t="shared" si="30"/>
        <v>0.64281230382925303</v>
      </c>
      <c r="I43" s="41">
        <f t="shared" si="25"/>
        <v>7.1994978028876337</v>
      </c>
      <c r="J43" s="42">
        <f t="shared" si="27"/>
        <v>7.2</v>
      </c>
      <c r="K43" s="42">
        <f t="shared" si="9"/>
        <v>13.182674199623353</v>
      </c>
    </row>
    <row r="44" spans="1:11" x14ac:dyDescent="0.25">
      <c r="A44" s="15">
        <f t="shared" ref="A44:A51" si="31">A43+0.1</f>
        <v>11.299999999999999</v>
      </c>
      <c r="B44" s="16">
        <f t="shared" si="22"/>
        <v>2.9224137931034484</v>
      </c>
      <c r="C44" s="17">
        <f t="shared" si="23"/>
        <v>3627</v>
      </c>
      <c r="D44" s="17">
        <f t="shared" si="15"/>
        <v>3214</v>
      </c>
      <c r="E44" s="17">
        <f t="shared" si="5"/>
        <v>3214</v>
      </c>
      <c r="F44" s="18">
        <f t="shared" si="16"/>
        <v>3214.2222222222222</v>
      </c>
      <c r="G44" s="19">
        <f t="shared" si="24"/>
        <v>6.9137168141577198E-3</v>
      </c>
      <c r="H44" s="41">
        <f t="shared" si="30"/>
        <v>0.6372121966397013</v>
      </c>
      <c r="I44" s="41">
        <f t="shared" si="25"/>
        <v>7.2004978220286242</v>
      </c>
      <c r="J44" s="42">
        <f t="shared" si="27"/>
        <v>7.2</v>
      </c>
      <c r="K44" s="42">
        <f t="shared" si="9"/>
        <v>13.067828251400124</v>
      </c>
    </row>
    <row r="45" spans="1:11" x14ac:dyDescent="0.25">
      <c r="A45" s="15">
        <f t="shared" si="31"/>
        <v>11.399999999999999</v>
      </c>
      <c r="B45" s="16">
        <f t="shared" si="22"/>
        <v>2.9482758620689653</v>
      </c>
      <c r="C45" s="17">
        <f t="shared" si="23"/>
        <v>3659</v>
      </c>
      <c r="D45" s="17">
        <f t="shared" si="15"/>
        <v>3242</v>
      </c>
      <c r="E45" s="17">
        <f t="shared" si="5"/>
        <v>3243</v>
      </c>
      <c r="F45" s="18">
        <f t="shared" si="16"/>
        <v>3242.6666666666665</v>
      </c>
      <c r="G45" s="19">
        <f t="shared" si="24"/>
        <v>2.0559210526311114E-2</v>
      </c>
      <c r="H45" s="41">
        <f t="shared" si="30"/>
        <v>0.63170882171499076</v>
      </c>
      <c r="I45" s="41">
        <f t="shared" si="25"/>
        <v>7.2014805675508935</v>
      </c>
      <c r="J45" s="42">
        <f t="shared" si="27"/>
        <v>7.2</v>
      </c>
      <c r="K45" s="42">
        <f t="shared" si="9"/>
        <v>12.954966070326959</v>
      </c>
    </row>
    <row r="46" spans="1:11" x14ac:dyDescent="0.25">
      <c r="A46" s="15">
        <f t="shared" si="31"/>
        <v>11.499999999999998</v>
      </c>
      <c r="B46" s="16">
        <f t="shared" si="22"/>
        <v>2.9741379310344827</v>
      </c>
      <c r="C46" s="17">
        <f t="shared" si="23"/>
        <v>3691</v>
      </c>
      <c r="D46" s="17">
        <f t="shared" si="15"/>
        <v>3271</v>
      </c>
      <c r="E46" s="17">
        <f t="shared" si="5"/>
        <v>3271</v>
      </c>
      <c r="F46" s="18">
        <f t="shared" si="16"/>
        <v>3271.1111111111109</v>
      </c>
      <c r="G46" s="19">
        <f t="shared" si="24"/>
        <v>3.39673913042706E-3</v>
      </c>
      <c r="H46" s="41">
        <f t="shared" si="30"/>
        <v>0.62610822378477526</v>
      </c>
      <c r="I46" s="41">
        <f t="shared" si="25"/>
        <v>7.2002445735249143</v>
      </c>
      <c r="J46" s="42">
        <f t="shared" si="27"/>
        <v>7.2</v>
      </c>
      <c r="K46" s="42">
        <f t="shared" si="9"/>
        <v>12.840110058086212</v>
      </c>
    </row>
    <row r="47" spans="1:11" x14ac:dyDescent="0.25">
      <c r="A47" s="15">
        <f t="shared" si="31"/>
        <v>11.599999999999998</v>
      </c>
      <c r="B47" s="16">
        <f t="shared" si="22"/>
        <v>2.9999999999999996</v>
      </c>
      <c r="C47" s="17">
        <f t="shared" si="23"/>
        <v>3723</v>
      </c>
      <c r="D47" s="17">
        <f t="shared" si="15"/>
        <v>3299</v>
      </c>
      <c r="E47" s="17">
        <f t="shared" si="5"/>
        <v>3300</v>
      </c>
      <c r="F47" s="18">
        <f t="shared" si="16"/>
        <v>3299.5555555555552</v>
      </c>
      <c r="G47" s="19">
        <f t="shared" si="24"/>
        <v>1.6837284482747902E-2</v>
      </c>
      <c r="H47" s="41">
        <f t="shared" si="30"/>
        <v>0.62079418005456199</v>
      </c>
      <c r="I47" s="41">
        <f t="shared" si="25"/>
        <v>7.2012124886329181</v>
      </c>
      <c r="J47" s="42">
        <f t="shared" si="27"/>
        <v>7.2</v>
      </c>
      <c r="K47" s="42">
        <f t="shared" si="9"/>
        <v>12.731130645650197</v>
      </c>
    </row>
    <row r="48" spans="1:11" x14ac:dyDescent="0.25">
      <c r="A48" s="15">
        <f t="shared" si="31"/>
        <v>11.699999999999998</v>
      </c>
      <c r="B48" s="16">
        <f t="shared" si="22"/>
        <v>3.0258620689655169</v>
      </c>
      <c r="C48" s="17">
        <f t="shared" si="23"/>
        <v>3755</v>
      </c>
      <c r="D48" s="17">
        <f t="shared" si="15"/>
        <v>3327</v>
      </c>
      <c r="E48" s="17">
        <f t="shared" si="5"/>
        <v>3328</v>
      </c>
      <c r="F48" s="18">
        <f t="shared" si="16"/>
        <v>3327.9999999999995</v>
      </c>
      <c r="G48" s="19">
        <f t="shared" si="24"/>
        <v>3.0048076923063265E-2</v>
      </c>
      <c r="H48" s="41">
        <f t="shared" si="30"/>
        <v>0.61556958220619173</v>
      </c>
      <c r="I48" s="41">
        <f t="shared" si="25"/>
        <v>7.2021641118124418</v>
      </c>
      <c r="J48" s="42">
        <f t="shared" si="27"/>
        <v>7.2</v>
      </c>
      <c r="K48" s="42">
        <f t="shared" si="9"/>
        <v>12.623985572587918</v>
      </c>
    </row>
    <row r="49" spans="1:11" x14ac:dyDescent="0.25">
      <c r="A49" s="15">
        <f t="shared" si="31"/>
        <v>11.799999999999997</v>
      </c>
      <c r="B49" s="16">
        <f t="shared" si="22"/>
        <v>3.0517241379310338</v>
      </c>
      <c r="C49" s="17">
        <f t="shared" si="23"/>
        <v>3787</v>
      </c>
      <c r="D49" s="17">
        <f t="shared" si="15"/>
        <v>3356</v>
      </c>
      <c r="E49" s="17">
        <f t="shared" si="5"/>
        <v>3356</v>
      </c>
      <c r="F49" s="18">
        <f t="shared" si="16"/>
        <v>3356.4444444444439</v>
      </c>
      <c r="G49" s="19">
        <f t="shared" si="24"/>
        <v>1.3241525423712259E-2</v>
      </c>
      <c r="H49" s="41">
        <f t="shared" si="30"/>
        <v>0.61025029797377828</v>
      </c>
      <c r="I49" s="41">
        <f t="shared" si="25"/>
        <v>7.200953516090582</v>
      </c>
      <c r="J49" s="42">
        <f t="shared" si="27"/>
        <v>7.2</v>
      </c>
      <c r="K49" s="42">
        <f t="shared" si="9"/>
        <v>12.514898688915375</v>
      </c>
    </row>
    <row r="50" spans="1:11" x14ac:dyDescent="0.25">
      <c r="A50" s="15">
        <f t="shared" si="31"/>
        <v>11.899999999999997</v>
      </c>
      <c r="B50" s="16">
        <f t="shared" si="22"/>
        <v>3.0775862068965512</v>
      </c>
      <c r="C50" s="17">
        <f t="shared" si="23"/>
        <v>3819</v>
      </c>
      <c r="D50" s="17">
        <f t="shared" si="15"/>
        <v>3384</v>
      </c>
      <c r="E50" s="17">
        <f t="shared" si="5"/>
        <v>3385</v>
      </c>
      <c r="F50" s="18">
        <f t="shared" si="16"/>
        <v>3384.8888888888882</v>
      </c>
      <c r="G50" s="19">
        <f t="shared" si="24"/>
        <v>2.6260504201661268E-2</v>
      </c>
      <c r="H50" s="41">
        <f t="shared" si="30"/>
        <v>0.60520094562647753</v>
      </c>
      <c r="I50" s="41">
        <f t="shared" si="25"/>
        <v>7.2018912529550807</v>
      </c>
      <c r="J50" s="42">
        <f t="shared" si="27"/>
        <v>7.2</v>
      </c>
      <c r="K50" s="42">
        <f t="shared" si="9"/>
        <v>12.411347517730496</v>
      </c>
    </row>
    <row r="51" spans="1:11" x14ac:dyDescent="0.25">
      <c r="A51" s="15">
        <f t="shared" si="31"/>
        <v>11.999999999999996</v>
      </c>
      <c r="B51" s="16">
        <f t="shared" si="22"/>
        <v>3.1034482758620681</v>
      </c>
      <c r="C51" s="17">
        <f t="shared" si="23"/>
        <v>3852</v>
      </c>
      <c r="D51" s="17">
        <f t="shared" si="15"/>
        <v>3413</v>
      </c>
      <c r="E51" s="17">
        <f t="shared" si="5"/>
        <v>3413</v>
      </c>
      <c r="F51" s="18">
        <f t="shared" si="16"/>
        <v>3413.3333333333326</v>
      </c>
      <c r="G51" s="19">
        <f t="shared" si="24"/>
        <v>9.7656249999777973E-3</v>
      </c>
      <c r="H51" s="41">
        <f t="shared" si="30"/>
        <v>0.60005859947260476</v>
      </c>
      <c r="I51" s="41">
        <f t="shared" si="25"/>
        <v>7.2007031936712549</v>
      </c>
      <c r="J51" s="42">
        <f t="shared" si="27"/>
        <v>7.2</v>
      </c>
      <c r="K51" s="42">
        <f t="shared" si="9"/>
        <v>12.305889246996777</v>
      </c>
    </row>
    <row r="52" spans="1:11" x14ac:dyDescent="0.25">
      <c r="A52" s="15">
        <f t="shared" ref="A52:A58" si="32">A51+0.1</f>
        <v>12.099999999999996</v>
      </c>
      <c r="B52" s="16">
        <f t="shared" si="22"/>
        <v>3.1293103448275854</v>
      </c>
      <c r="C52" s="17">
        <f t="shared" si="23"/>
        <v>3884</v>
      </c>
      <c r="D52" s="17">
        <f t="shared" si="15"/>
        <v>3442</v>
      </c>
      <c r="E52" s="17">
        <f t="shared" si="5"/>
        <v>3442</v>
      </c>
      <c r="F52" s="18">
        <f t="shared" si="16"/>
        <v>3441.7777777777769</v>
      </c>
      <c r="G52" s="19">
        <f t="shared" si="24"/>
        <v>-6.4566115702728924E-3</v>
      </c>
      <c r="H52" s="41">
        <f t="shared" si="30"/>
        <v>0.59500290528762345</v>
      </c>
      <c r="I52" s="41">
        <f t="shared" si="25"/>
        <v>7.199535153980241</v>
      </c>
      <c r="J52" s="42">
        <f t="shared" si="27"/>
        <v>7.2</v>
      </c>
      <c r="K52" s="42">
        <f t="shared" si="9"/>
        <v>12.20220801859384</v>
      </c>
    </row>
    <row r="53" spans="1:11" x14ac:dyDescent="0.25">
      <c r="A53" s="15">
        <f t="shared" si="32"/>
        <v>12.199999999999996</v>
      </c>
      <c r="B53" s="16">
        <f t="shared" si="22"/>
        <v>3.1551724137931028</v>
      </c>
      <c r="C53" s="17">
        <f t="shared" si="23"/>
        <v>3916</v>
      </c>
      <c r="D53" s="17">
        <f t="shared" si="15"/>
        <v>3470</v>
      </c>
      <c r="E53" s="17">
        <f t="shared" si="5"/>
        <v>3470</v>
      </c>
      <c r="F53" s="18">
        <f t="shared" si="16"/>
        <v>3470.2222222222213</v>
      </c>
      <c r="G53" s="19">
        <f t="shared" si="24"/>
        <v>6.4036885245625005E-3</v>
      </c>
      <c r="H53" s="41">
        <f t="shared" si="30"/>
        <v>0.59020172910662827</v>
      </c>
      <c r="I53" s="41">
        <f t="shared" si="25"/>
        <v>7.2004610951008621</v>
      </c>
      <c r="J53" s="42">
        <f t="shared" si="27"/>
        <v>7.2</v>
      </c>
      <c r="K53" s="42">
        <f t="shared" si="9"/>
        <v>12.103746397694524</v>
      </c>
    </row>
    <row r="54" spans="1:11" x14ac:dyDescent="0.25">
      <c r="A54" s="15">
        <f t="shared" si="32"/>
        <v>12.299999999999995</v>
      </c>
      <c r="B54" s="16">
        <f t="shared" si="22"/>
        <v>3.1810344827586197</v>
      </c>
      <c r="C54" s="17">
        <f t="shared" si="23"/>
        <v>3948</v>
      </c>
      <c r="D54" s="17">
        <f t="shared" si="15"/>
        <v>3498</v>
      </c>
      <c r="E54" s="17">
        <f t="shared" si="5"/>
        <v>3499</v>
      </c>
      <c r="F54" s="18">
        <f t="shared" si="16"/>
        <v>3498.6666666666656</v>
      </c>
      <c r="G54" s="19">
        <f t="shared" si="24"/>
        <v>1.9054878048750164E-2</v>
      </c>
      <c r="H54" s="41">
        <f t="shared" si="30"/>
        <v>0.5854774156660949</v>
      </c>
      <c r="I54" s="41">
        <f t="shared" si="25"/>
        <v>7.2013722126929647</v>
      </c>
      <c r="J54" s="42">
        <f t="shared" si="27"/>
        <v>7.2</v>
      </c>
      <c r="K54" s="42">
        <f t="shared" si="9"/>
        <v>12.006861063464838</v>
      </c>
    </row>
    <row r="55" spans="1:11" x14ac:dyDescent="0.25">
      <c r="A55" s="15">
        <f t="shared" si="32"/>
        <v>12.399999999999995</v>
      </c>
      <c r="B55" s="16">
        <f t="shared" si="22"/>
        <v>3.206896551724137</v>
      </c>
      <c r="C55" s="17">
        <f t="shared" si="23"/>
        <v>3980</v>
      </c>
      <c r="D55" s="17">
        <f t="shared" si="15"/>
        <v>3527</v>
      </c>
      <c r="E55" s="17">
        <f t="shared" si="5"/>
        <v>3527</v>
      </c>
      <c r="F55" s="18">
        <f t="shared" si="16"/>
        <v>3527.1111111111099</v>
      </c>
      <c r="G55" s="19">
        <f t="shared" si="24"/>
        <v>3.150201612870278E-3</v>
      </c>
      <c r="H55" s="41">
        <f t="shared" si="30"/>
        <v>0.58066345335979586</v>
      </c>
      <c r="I55" s="41">
        <f t="shared" si="25"/>
        <v>7.2002268216614658</v>
      </c>
      <c r="J55" s="42">
        <f t="shared" si="27"/>
        <v>7.2</v>
      </c>
      <c r="K55" s="42">
        <f t="shared" si="9"/>
        <v>11.908137227105188</v>
      </c>
    </row>
    <row r="56" spans="1:11" x14ac:dyDescent="0.25">
      <c r="A56" s="15">
        <f t="shared" si="32"/>
        <v>12.499999999999995</v>
      </c>
      <c r="B56" s="16">
        <f t="shared" si="22"/>
        <v>3.2327586206896539</v>
      </c>
      <c r="C56" s="17">
        <f t="shared" si="23"/>
        <v>4012</v>
      </c>
      <c r="D56" s="17">
        <f t="shared" si="15"/>
        <v>3555</v>
      </c>
      <c r="E56" s="17">
        <f t="shared" si="5"/>
        <v>3556</v>
      </c>
      <c r="F56" s="18">
        <f t="shared" si="16"/>
        <v>3555.5555555555543</v>
      </c>
      <c r="G56" s="19">
        <f t="shared" si="24"/>
        <v>1.562499999996448E-2</v>
      </c>
      <c r="H56" s="41">
        <f t="shared" si="30"/>
        <v>0.57609001406469762</v>
      </c>
      <c r="I56" s="41">
        <f t="shared" si="25"/>
        <v>7.2011251758087171</v>
      </c>
      <c r="J56" s="42">
        <f t="shared" si="27"/>
        <v>7.2</v>
      </c>
      <c r="K56" s="42">
        <f t="shared" si="9"/>
        <v>11.814345991561181</v>
      </c>
    </row>
    <row r="57" spans="1:11" x14ac:dyDescent="0.25">
      <c r="A57" s="35">
        <f t="shared" si="32"/>
        <v>12.599999999999994</v>
      </c>
      <c r="B57" s="16">
        <f t="shared" si="22"/>
        <v>3.2586206896551713</v>
      </c>
      <c r="C57" s="17">
        <f t="shared" si="23"/>
        <v>4044</v>
      </c>
      <c r="D57" s="17">
        <f t="shared" si="15"/>
        <v>3583</v>
      </c>
      <c r="E57" s="17">
        <f t="shared" si="5"/>
        <v>3584</v>
      </c>
      <c r="F57" s="18">
        <f t="shared" si="16"/>
        <v>3583.9999999999986</v>
      </c>
      <c r="G57" s="19">
        <f t="shared" si="24"/>
        <v>2.7901785714247663E-2</v>
      </c>
      <c r="H57" s="41">
        <f t="shared" si="30"/>
        <v>0.57158805470276308</v>
      </c>
      <c r="I57" s="41">
        <f t="shared" si="25"/>
        <v>7.2020094892548112</v>
      </c>
      <c r="J57" s="42">
        <f t="shared" si="27"/>
        <v>7.2</v>
      </c>
      <c r="K57" s="42">
        <f t="shared" si="9"/>
        <v>11.722020653084007</v>
      </c>
    </row>
    <row r="58" spans="1:11" x14ac:dyDescent="0.25">
      <c r="A58" s="29">
        <f t="shared" si="32"/>
        <v>12.699999999999994</v>
      </c>
      <c r="B58" s="25">
        <f t="shared" si="22"/>
        <v>3.2844827586206882</v>
      </c>
      <c r="C58" s="26">
        <f t="shared" si="23"/>
        <v>4076</v>
      </c>
      <c r="D58" s="26">
        <f t="shared" si="15"/>
        <v>3612</v>
      </c>
      <c r="E58" s="26">
        <f t="shared" si="5"/>
        <v>3612</v>
      </c>
      <c r="F58" s="27">
        <f t="shared" si="16"/>
        <v>3612.444444444443</v>
      </c>
      <c r="G58" s="28">
        <f t="shared" si="24"/>
        <v>1.2303149606258655E-2</v>
      </c>
      <c r="H58" s="44">
        <f t="shared" si="30"/>
        <v>0.56699889258028791</v>
      </c>
      <c r="I58" s="44">
        <f t="shared" si="25"/>
        <v>7.2008859357696533</v>
      </c>
      <c r="J58" s="45">
        <f t="shared" si="27"/>
        <v>7.2</v>
      </c>
      <c r="K58" s="45">
        <f t="shared" si="9"/>
        <v>11.627906976744185</v>
      </c>
    </row>
    <row r="59" spans="1:11" x14ac:dyDescent="0.25">
      <c r="A59" s="29">
        <v>12.76</v>
      </c>
      <c r="B59" s="25">
        <f t="shared" si="22"/>
        <v>3.3000000000000003</v>
      </c>
      <c r="C59" s="26">
        <f t="shared" si="23"/>
        <v>4096</v>
      </c>
      <c r="D59" s="26">
        <f t="shared" si="15"/>
        <v>3630</v>
      </c>
      <c r="E59" s="26">
        <f t="shared" si="5"/>
        <v>3630</v>
      </c>
      <c r="F59" s="27">
        <f t="shared" si="16"/>
        <v>3629.5111111111114</v>
      </c>
      <c r="G59" s="28">
        <f t="shared" si="24"/>
        <v>-1.3469827586198822E-2</v>
      </c>
      <c r="H59" s="44">
        <f t="shared" ref="H59" si="33">2048/$D59</f>
        <v>0.56418732782369141</v>
      </c>
      <c r="I59" s="44">
        <f t="shared" si="25"/>
        <v>7.1990303030303027</v>
      </c>
      <c r="J59" s="45">
        <f t="shared" si="27"/>
        <v>7.2</v>
      </c>
      <c r="K59" s="45">
        <f t="shared" si="9"/>
        <v>11.570247933884298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selection activeCell="A41" sqref="A41"/>
    </sheetView>
  </sheetViews>
  <sheetFormatPr defaultRowHeight="15" x14ac:dyDescent="0.25"/>
  <cols>
    <col min="6" max="6" width="12" customWidth="1"/>
  </cols>
  <sheetData>
    <row r="1" spans="1:11" x14ac:dyDescent="0.25">
      <c r="A1" s="2" t="s">
        <v>0</v>
      </c>
      <c r="B1" s="3">
        <f>1.5/(1.5+4.3)</f>
        <v>0.25862068965517243</v>
      </c>
      <c r="C1" s="30"/>
      <c r="D1" s="30"/>
      <c r="E1" s="30"/>
      <c r="F1" s="31"/>
      <c r="G1" s="31"/>
      <c r="H1" s="31"/>
      <c r="I1" s="31"/>
      <c r="J1" s="31"/>
      <c r="K1" s="31"/>
    </row>
    <row r="2" spans="1:11" ht="37.5" x14ac:dyDescent="0.25">
      <c r="A2" s="46" t="s">
        <v>10</v>
      </c>
      <c r="B2" s="4" t="s">
        <v>1</v>
      </c>
      <c r="C2" s="5" t="s">
        <v>2</v>
      </c>
      <c r="D2" s="5" t="s">
        <v>9</v>
      </c>
      <c r="E2" s="5" t="s">
        <v>8</v>
      </c>
      <c r="F2" s="5" t="s">
        <v>4</v>
      </c>
      <c r="G2" s="5" t="s">
        <v>3</v>
      </c>
      <c r="H2" s="36" t="s">
        <v>5</v>
      </c>
      <c r="I2" s="36" t="s">
        <v>6</v>
      </c>
      <c r="J2" s="36" t="s">
        <v>7</v>
      </c>
      <c r="K2" s="5" t="s">
        <v>11</v>
      </c>
    </row>
    <row r="3" spans="1:11" x14ac:dyDescent="0.25">
      <c r="A3" s="56">
        <v>9</v>
      </c>
      <c r="B3" s="6">
        <f>$A3*$B$1</f>
        <v>2.327586206896552</v>
      </c>
      <c r="C3" s="7">
        <f>ROUNDDOWN($B3/3.3*4096,0)</f>
        <v>2889</v>
      </c>
      <c r="D3" s="7">
        <f>ROUND(1.1/6/$B$1*$C3,0)</f>
        <v>2048</v>
      </c>
      <c r="E3" s="7">
        <f>ROUND(2048/9*$A3,0)</f>
        <v>2048</v>
      </c>
      <c r="F3" s="8">
        <f>2048/9*$A3</f>
        <v>2048</v>
      </c>
      <c r="G3" s="9">
        <f>($F3-$D3)/$F3*100</f>
        <v>0</v>
      </c>
      <c r="H3" s="47">
        <f t="shared" ref="H3:H22" si="0">2048/$D3</f>
        <v>1</v>
      </c>
      <c r="I3" s="47">
        <f>$A3*$H3</f>
        <v>9</v>
      </c>
      <c r="J3" s="48">
        <f t="shared" ref="J3:J5" si="1">ROUND($I3,2)</f>
        <v>9</v>
      </c>
      <c r="K3" s="48">
        <f t="shared" ref="K3:K42" si="2">84000/$D3/2</f>
        <v>20.5078125</v>
      </c>
    </row>
    <row r="4" spans="1:11" x14ac:dyDescent="0.25">
      <c r="A4" s="10">
        <f>A3+0.1</f>
        <v>9.1</v>
      </c>
      <c r="B4" s="11">
        <f t="shared" ref="B4:B42" si="3">$A4*$B$1</f>
        <v>2.353448275862069</v>
      </c>
      <c r="C4" s="12">
        <f t="shared" ref="C4:C42" si="4">ROUNDDOWN($B4/3.3*4096,0)</f>
        <v>2921</v>
      </c>
      <c r="D4" s="12">
        <f t="shared" ref="D4:D42" si="5">ROUND(1.1/6/$B$1*$C4,0)</f>
        <v>2071</v>
      </c>
      <c r="E4" s="12">
        <f t="shared" ref="E4:E42" si="6">ROUND(2048/9*$A4,0)</f>
        <v>2071</v>
      </c>
      <c r="F4" s="13">
        <f t="shared" ref="F4:F42" si="7">2048/9*$A4</f>
        <v>2070.7555555555555</v>
      </c>
      <c r="G4" s="14">
        <f t="shared" ref="G4:G42" si="8">($F4-$D4)/$F4*100</f>
        <v>-1.1804601648355553E-2</v>
      </c>
      <c r="H4" s="39">
        <f t="shared" si="0"/>
        <v>0.98889425398358277</v>
      </c>
      <c r="I4" s="39">
        <f t="shared" ref="I4:I42" si="9">$A4*$H4</f>
        <v>8.998937711250603</v>
      </c>
      <c r="J4" s="40">
        <f t="shared" si="1"/>
        <v>9</v>
      </c>
      <c r="K4" s="40">
        <f t="shared" si="2"/>
        <v>20.280057943022694</v>
      </c>
    </row>
    <row r="5" spans="1:11" x14ac:dyDescent="0.25">
      <c r="A5" s="10">
        <f t="shared" ref="A5:A23" si="10">A4+0.1</f>
        <v>9.1999999999999993</v>
      </c>
      <c r="B5" s="11">
        <f t="shared" si="3"/>
        <v>2.3793103448275863</v>
      </c>
      <c r="C5" s="12">
        <f t="shared" si="4"/>
        <v>2953</v>
      </c>
      <c r="D5" s="12">
        <f t="shared" si="5"/>
        <v>2093</v>
      </c>
      <c r="E5" s="12">
        <f t="shared" si="6"/>
        <v>2094</v>
      </c>
      <c r="F5" s="13">
        <f t="shared" si="7"/>
        <v>2093.5111111111109</v>
      </c>
      <c r="G5" s="14">
        <f t="shared" si="8"/>
        <v>2.4414062499992277E-2</v>
      </c>
      <c r="H5" s="39">
        <f t="shared" si="0"/>
        <v>0.97849976110845671</v>
      </c>
      <c r="I5" s="39">
        <f t="shared" si="9"/>
        <v>9.0021978021978004</v>
      </c>
      <c r="J5" s="40">
        <f t="shared" si="1"/>
        <v>9</v>
      </c>
      <c r="K5" s="40">
        <f t="shared" si="2"/>
        <v>20.066889632107024</v>
      </c>
    </row>
    <row r="6" spans="1:11" x14ac:dyDescent="0.25">
      <c r="A6" s="10">
        <f t="shared" si="10"/>
        <v>9.2999999999999989</v>
      </c>
      <c r="B6" s="11">
        <f t="shared" si="3"/>
        <v>2.4051724137931032</v>
      </c>
      <c r="C6" s="12">
        <f t="shared" si="4"/>
        <v>2985</v>
      </c>
      <c r="D6" s="12">
        <f t="shared" si="5"/>
        <v>2116</v>
      </c>
      <c r="E6" s="12">
        <f t="shared" si="6"/>
        <v>2116</v>
      </c>
      <c r="F6" s="13">
        <f t="shared" si="7"/>
        <v>2116.2666666666664</v>
      </c>
      <c r="G6" s="14">
        <f t="shared" si="8"/>
        <v>1.2600806451601446E-2</v>
      </c>
      <c r="H6" s="39">
        <f t="shared" si="0"/>
        <v>0.9678638941398866</v>
      </c>
      <c r="I6" s="39">
        <f t="shared" si="9"/>
        <v>9.0011342155009437</v>
      </c>
      <c r="J6" s="40">
        <f>ROUND($I6,2)</f>
        <v>9</v>
      </c>
      <c r="K6" s="40">
        <f t="shared" si="2"/>
        <v>19.848771266540641</v>
      </c>
    </row>
    <row r="7" spans="1:11" x14ac:dyDescent="0.25">
      <c r="A7" s="10">
        <f t="shared" si="10"/>
        <v>9.3999999999999986</v>
      </c>
      <c r="B7" s="11">
        <f t="shared" si="3"/>
        <v>2.4310344827586206</v>
      </c>
      <c r="C7" s="12">
        <f t="shared" si="4"/>
        <v>3017</v>
      </c>
      <c r="D7" s="12">
        <f t="shared" si="5"/>
        <v>2139</v>
      </c>
      <c r="E7" s="12">
        <f t="shared" si="6"/>
        <v>2139</v>
      </c>
      <c r="F7" s="13">
        <f t="shared" si="7"/>
        <v>2139.0222222222219</v>
      </c>
      <c r="G7" s="14">
        <f t="shared" si="8"/>
        <v>1.038896276580627E-3</v>
      </c>
      <c r="H7" s="39">
        <f t="shared" si="0"/>
        <v>0.95745675549322118</v>
      </c>
      <c r="I7" s="39">
        <f t="shared" si="9"/>
        <v>9.0000935016362771</v>
      </c>
      <c r="J7" s="40">
        <f t="shared" ref="J7:J42" si="11">ROUND($I7,2)</f>
        <v>9</v>
      </c>
      <c r="K7" s="40">
        <f t="shared" si="2"/>
        <v>19.635343618513325</v>
      </c>
    </row>
    <row r="8" spans="1:11" x14ac:dyDescent="0.25">
      <c r="A8" s="10">
        <f t="shared" si="10"/>
        <v>9.4999999999999982</v>
      </c>
      <c r="B8" s="11">
        <f t="shared" si="3"/>
        <v>2.4568965517241375</v>
      </c>
      <c r="C8" s="12">
        <f t="shared" si="4"/>
        <v>3049</v>
      </c>
      <c r="D8" s="12">
        <f t="shared" si="5"/>
        <v>2161</v>
      </c>
      <c r="E8" s="12">
        <f t="shared" si="6"/>
        <v>2162</v>
      </c>
      <c r="F8" s="13">
        <f t="shared" si="7"/>
        <v>2161.7777777777774</v>
      </c>
      <c r="G8" s="14">
        <f t="shared" si="8"/>
        <v>3.5978618421033941E-2</v>
      </c>
      <c r="H8" s="39">
        <f t="shared" si="0"/>
        <v>0.94770939379916708</v>
      </c>
      <c r="I8" s="39">
        <f t="shared" si="9"/>
        <v>9.0032392410920856</v>
      </c>
      <c r="J8" s="40">
        <f t="shared" si="11"/>
        <v>9</v>
      </c>
      <c r="K8" s="40">
        <f t="shared" si="2"/>
        <v>19.435446552521981</v>
      </c>
    </row>
    <row r="9" spans="1:11" x14ac:dyDescent="0.25">
      <c r="A9" s="10">
        <f t="shared" si="10"/>
        <v>9.5999999999999979</v>
      </c>
      <c r="B9" s="11">
        <f t="shared" si="3"/>
        <v>2.4827586206896548</v>
      </c>
      <c r="C9" s="12">
        <f t="shared" si="4"/>
        <v>3081</v>
      </c>
      <c r="D9" s="12">
        <f t="shared" si="5"/>
        <v>2184</v>
      </c>
      <c r="E9" s="12">
        <f t="shared" si="6"/>
        <v>2185</v>
      </c>
      <c r="F9" s="13">
        <f t="shared" si="7"/>
        <v>2184.5333333333328</v>
      </c>
      <c r="G9" s="14">
        <f t="shared" si="8"/>
        <v>2.4414062499977802E-2</v>
      </c>
      <c r="H9" s="39">
        <f t="shared" si="0"/>
        <v>0.93772893772893773</v>
      </c>
      <c r="I9" s="39">
        <f t="shared" si="9"/>
        <v>9.0021978021978004</v>
      </c>
      <c r="J9" s="40">
        <f t="shared" si="11"/>
        <v>9</v>
      </c>
      <c r="K9" s="40">
        <f t="shared" si="2"/>
        <v>19.23076923076923</v>
      </c>
    </row>
    <row r="10" spans="1:11" x14ac:dyDescent="0.25">
      <c r="A10" s="10">
        <f t="shared" si="10"/>
        <v>9.6999999999999975</v>
      </c>
      <c r="B10" s="11">
        <f t="shared" si="3"/>
        <v>2.5086206896551722</v>
      </c>
      <c r="C10" s="12">
        <f t="shared" si="4"/>
        <v>3113</v>
      </c>
      <c r="D10" s="12">
        <f t="shared" si="5"/>
        <v>2207</v>
      </c>
      <c r="E10" s="12">
        <f t="shared" si="6"/>
        <v>2207</v>
      </c>
      <c r="F10" s="13">
        <f t="shared" si="7"/>
        <v>2207.2888888888883</v>
      </c>
      <c r="G10" s="14">
        <f t="shared" si="8"/>
        <v>1.3087951030902201E-2</v>
      </c>
      <c r="H10" s="39">
        <f t="shared" si="0"/>
        <v>0.92795650203896696</v>
      </c>
      <c r="I10" s="39">
        <f t="shared" si="9"/>
        <v>9.0011780697779766</v>
      </c>
      <c r="J10" s="40">
        <f t="shared" si="11"/>
        <v>9</v>
      </c>
      <c r="K10" s="40">
        <f t="shared" si="2"/>
        <v>19.030357951971002</v>
      </c>
    </row>
    <row r="11" spans="1:11" x14ac:dyDescent="0.25">
      <c r="A11" s="10">
        <f t="shared" si="10"/>
        <v>9.7999999999999972</v>
      </c>
      <c r="B11" s="11">
        <f t="shared" si="3"/>
        <v>2.5344827586206891</v>
      </c>
      <c r="C11" s="12">
        <f t="shared" si="4"/>
        <v>3145</v>
      </c>
      <c r="D11" s="12">
        <f t="shared" si="5"/>
        <v>2229</v>
      </c>
      <c r="E11" s="12">
        <f t="shared" si="6"/>
        <v>2230</v>
      </c>
      <c r="F11" s="13">
        <f t="shared" si="7"/>
        <v>2230.0444444444438</v>
      </c>
      <c r="G11" s="14">
        <f t="shared" si="8"/>
        <v>4.683514030609346E-2</v>
      </c>
      <c r="H11" s="39">
        <f t="shared" si="0"/>
        <v>0.91879766711529831</v>
      </c>
      <c r="I11" s="39">
        <f t="shared" si="9"/>
        <v>9.0042171377299205</v>
      </c>
      <c r="J11" s="40">
        <f t="shared" si="11"/>
        <v>9</v>
      </c>
      <c r="K11" s="40">
        <f t="shared" si="2"/>
        <v>18.842530282637956</v>
      </c>
    </row>
    <row r="12" spans="1:11" x14ac:dyDescent="0.25">
      <c r="A12" s="10">
        <f t="shared" si="10"/>
        <v>9.8999999999999968</v>
      </c>
      <c r="B12" s="11">
        <f t="shared" si="3"/>
        <v>2.5603448275862064</v>
      </c>
      <c r="C12" s="12">
        <f t="shared" si="4"/>
        <v>3177</v>
      </c>
      <c r="D12" s="12">
        <f t="shared" si="5"/>
        <v>2252</v>
      </c>
      <c r="E12" s="12">
        <f t="shared" si="6"/>
        <v>2253</v>
      </c>
      <c r="F12" s="13">
        <f t="shared" si="7"/>
        <v>2252.7999999999993</v>
      </c>
      <c r="G12" s="14">
        <f t="shared" si="8"/>
        <v>3.5511363636331353E-2</v>
      </c>
      <c r="H12" s="39">
        <f t="shared" si="0"/>
        <v>0.90941385435168742</v>
      </c>
      <c r="I12" s="39">
        <f t="shared" si="9"/>
        <v>9.0031971580817025</v>
      </c>
      <c r="J12" s="40">
        <f t="shared" si="11"/>
        <v>9</v>
      </c>
      <c r="K12" s="40">
        <f t="shared" si="2"/>
        <v>18.650088809946713</v>
      </c>
    </row>
    <row r="13" spans="1:11" x14ac:dyDescent="0.25">
      <c r="A13" s="10">
        <f t="shared" si="10"/>
        <v>9.9999999999999964</v>
      </c>
      <c r="B13" s="11">
        <f t="shared" si="3"/>
        <v>2.5862068965517233</v>
      </c>
      <c r="C13" s="12">
        <f t="shared" si="4"/>
        <v>3210</v>
      </c>
      <c r="D13" s="12">
        <f t="shared" si="5"/>
        <v>2276</v>
      </c>
      <c r="E13" s="12">
        <f t="shared" si="6"/>
        <v>2276</v>
      </c>
      <c r="F13" s="13">
        <f t="shared" si="7"/>
        <v>2275.5555555555547</v>
      </c>
      <c r="G13" s="14">
        <f t="shared" si="8"/>
        <v>-1.9531250000035534E-2</v>
      </c>
      <c r="H13" s="39">
        <f t="shared" si="0"/>
        <v>0.89982425307557112</v>
      </c>
      <c r="I13" s="39">
        <f t="shared" si="9"/>
        <v>8.9982425307557072</v>
      </c>
      <c r="J13" s="40">
        <f t="shared" si="11"/>
        <v>9</v>
      </c>
      <c r="K13" s="40">
        <f t="shared" si="2"/>
        <v>18.453427065026361</v>
      </c>
    </row>
    <row r="14" spans="1:11" x14ac:dyDescent="0.25">
      <c r="A14" s="10">
        <f t="shared" si="10"/>
        <v>10.099999999999996</v>
      </c>
      <c r="B14" s="11">
        <f t="shared" si="3"/>
        <v>2.6120689655172407</v>
      </c>
      <c r="C14" s="12">
        <f t="shared" si="4"/>
        <v>3242</v>
      </c>
      <c r="D14" s="12">
        <f t="shared" si="5"/>
        <v>2298</v>
      </c>
      <c r="E14" s="12">
        <f t="shared" si="6"/>
        <v>2298</v>
      </c>
      <c r="F14" s="13">
        <f t="shared" si="7"/>
        <v>2298.3111111111102</v>
      </c>
      <c r="G14" s="14">
        <f t="shared" si="8"/>
        <v>1.3536509900951411E-2</v>
      </c>
      <c r="H14" s="39">
        <f t="shared" si="0"/>
        <v>0.89120974760661442</v>
      </c>
      <c r="I14" s="39">
        <f t="shared" si="9"/>
        <v>9.0012184508268014</v>
      </c>
      <c r="J14" s="40">
        <f t="shared" si="11"/>
        <v>9</v>
      </c>
      <c r="K14" s="40">
        <f t="shared" si="2"/>
        <v>18.276762402088774</v>
      </c>
    </row>
    <row r="15" spans="1:11" x14ac:dyDescent="0.25">
      <c r="A15" s="10">
        <f t="shared" si="10"/>
        <v>10.199999999999996</v>
      </c>
      <c r="B15" s="11">
        <f t="shared" si="3"/>
        <v>2.6379310344827576</v>
      </c>
      <c r="C15" s="12">
        <f t="shared" si="4"/>
        <v>3274</v>
      </c>
      <c r="D15" s="12">
        <f t="shared" si="5"/>
        <v>2321</v>
      </c>
      <c r="E15" s="12">
        <f t="shared" si="6"/>
        <v>2321</v>
      </c>
      <c r="F15" s="13">
        <f t="shared" si="7"/>
        <v>2321.0666666666657</v>
      </c>
      <c r="G15" s="14">
        <f t="shared" si="8"/>
        <v>2.8722426470170282E-3</v>
      </c>
      <c r="H15" s="39">
        <f t="shared" si="0"/>
        <v>0.8823782852218871</v>
      </c>
      <c r="I15" s="39">
        <f t="shared" si="9"/>
        <v>9.0002585092632454</v>
      </c>
      <c r="J15" s="40">
        <f t="shared" si="11"/>
        <v>9</v>
      </c>
      <c r="K15" s="40">
        <f t="shared" si="2"/>
        <v>18.095648427401983</v>
      </c>
    </row>
    <row r="16" spans="1:11" x14ac:dyDescent="0.25">
      <c r="A16" s="15">
        <f t="shared" si="10"/>
        <v>10.299999999999995</v>
      </c>
      <c r="B16" s="16">
        <f t="shared" si="3"/>
        <v>2.6637931034482749</v>
      </c>
      <c r="C16" s="17">
        <f t="shared" si="4"/>
        <v>3306</v>
      </c>
      <c r="D16" s="17">
        <f t="shared" si="5"/>
        <v>2344</v>
      </c>
      <c r="E16" s="17">
        <f t="shared" si="6"/>
        <v>2344</v>
      </c>
      <c r="F16" s="18">
        <f t="shared" si="7"/>
        <v>2343.8222222222212</v>
      </c>
      <c r="G16" s="19">
        <f t="shared" si="8"/>
        <v>-7.5849514563555232E-3</v>
      </c>
      <c r="H16" s="41">
        <f t="shared" si="0"/>
        <v>0.87372013651877134</v>
      </c>
      <c r="I16" s="41">
        <f t="shared" si="9"/>
        <v>8.9993174061433407</v>
      </c>
      <c r="J16" s="42">
        <f t="shared" si="11"/>
        <v>9</v>
      </c>
      <c r="K16" s="42">
        <f t="shared" si="2"/>
        <v>17.918088737201366</v>
      </c>
    </row>
    <row r="17" spans="1:11" x14ac:dyDescent="0.25">
      <c r="A17" s="15">
        <f t="shared" si="10"/>
        <v>10.399999999999995</v>
      </c>
      <c r="B17" s="16">
        <f t="shared" si="3"/>
        <v>2.6896551724137918</v>
      </c>
      <c r="C17" s="17">
        <f t="shared" si="4"/>
        <v>3338</v>
      </c>
      <c r="D17" s="17">
        <f t="shared" si="5"/>
        <v>2366</v>
      </c>
      <c r="E17" s="17">
        <f t="shared" si="6"/>
        <v>2367</v>
      </c>
      <c r="F17" s="18">
        <f t="shared" si="7"/>
        <v>2366.5777777777766</v>
      </c>
      <c r="G17" s="19">
        <f t="shared" si="8"/>
        <v>2.4414062499952188E-2</v>
      </c>
      <c r="H17" s="41">
        <f t="shared" si="0"/>
        <v>0.86559594251901939</v>
      </c>
      <c r="I17" s="41">
        <f t="shared" si="9"/>
        <v>9.0021978021977969</v>
      </c>
      <c r="J17" s="42">
        <f t="shared" si="11"/>
        <v>9</v>
      </c>
      <c r="K17" s="42">
        <f t="shared" si="2"/>
        <v>17.751479289940828</v>
      </c>
    </row>
    <row r="18" spans="1:11" x14ac:dyDescent="0.25">
      <c r="A18" s="15">
        <f t="shared" si="10"/>
        <v>10.499999999999995</v>
      </c>
      <c r="B18" s="16">
        <f t="shared" si="3"/>
        <v>2.7155172413793092</v>
      </c>
      <c r="C18" s="17">
        <f t="shared" si="4"/>
        <v>3370</v>
      </c>
      <c r="D18" s="17">
        <f t="shared" si="5"/>
        <v>2389</v>
      </c>
      <c r="E18" s="17">
        <f t="shared" si="6"/>
        <v>2389</v>
      </c>
      <c r="F18" s="18">
        <f t="shared" si="7"/>
        <v>2389.3333333333321</v>
      </c>
      <c r="G18" s="19">
        <f t="shared" si="8"/>
        <v>1.395089285709211E-2</v>
      </c>
      <c r="H18" s="41">
        <f t="shared" si="0"/>
        <v>0.85726245290916703</v>
      </c>
      <c r="I18" s="41">
        <f t="shared" si="9"/>
        <v>9.00125575554625</v>
      </c>
      <c r="J18" s="42">
        <f t="shared" si="11"/>
        <v>9</v>
      </c>
      <c r="K18" s="42">
        <f t="shared" si="2"/>
        <v>17.580577647551276</v>
      </c>
    </row>
    <row r="19" spans="1:11" x14ac:dyDescent="0.25">
      <c r="A19" s="15">
        <f t="shared" si="10"/>
        <v>10.599999999999994</v>
      </c>
      <c r="B19" s="16">
        <f t="shared" si="3"/>
        <v>2.7413793103448265</v>
      </c>
      <c r="C19" s="17">
        <f t="shared" si="4"/>
        <v>3402</v>
      </c>
      <c r="D19" s="17">
        <f t="shared" si="5"/>
        <v>2412</v>
      </c>
      <c r="E19" s="17">
        <f t="shared" si="6"/>
        <v>2412</v>
      </c>
      <c r="F19" s="18">
        <f t="shared" si="7"/>
        <v>2412.0888888888876</v>
      </c>
      <c r="G19" s="19">
        <f t="shared" si="8"/>
        <v>3.6851415093803381E-3</v>
      </c>
      <c r="H19" s="41">
        <f t="shared" si="0"/>
        <v>0.84908789386401329</v>
      </c>
      <c r="I19" s="41">
        <f t="shared" si="9"/>
        <v>9.0003316749585363</v>
      </c>
      <c r="J19" s="42">
        <f t="shared" si="11"/>
        <v>9</v>
      </c>
      <c r="K19" s="42">
        <f t="shared" si="2"/>
        <v>17.412935323383085</v>
      </c>
    </row>
    <row r="20" spans="1:11" x14ac:dyDescent="0.25">
      <c r="A20" s="15">
        <f t="shared" si="10"/>
        <v>10.699999999999994</v>
      </c>
      <c r="B20" s="16">
        <f t="shared" si="3"/>
        <v>2.7672413793103434</v>
      </c>
      <c r="C20" s="17">
        <f t="shared" si="4"/>
        <v>3434</v>
      </c>
      <c r="D20" s="17">
        <f t="shared" si="5"/>
        <v>2434</v>
      </c>
      <c r="E20" s="17">
        <f t="shared" si="6"/>
        <v>2435</v>
      </c>
      <c r="F20" s="18">
        <f t="shared" si="7"/>
        <v>2434.8444444444431</v>
      </c>
      <c r="G20" s="19">
        <f t="shared" si="8"/>
        <v>3.4681658878448249E-2</v>
      </c>
      <c r="H20" s="41">
        <f t="shared" si="0"/>
        <v>0.84141331142152831</v>
      </c>
      <c r="I20" s="41">
        <f t="shared" si="9"/>
        <v>9.0031224322103487</v>
      </c>
      <c r="J20" s="42">
        <f t="shared" si="11"/>
        <v>9</v>
      </c>
      <c r="K20" s="42">
        <f t="shared" si="2"/>
        <v>17.255546425636812</v>
      </c>
    </row>
    <row r="21" spans="1:11" x14ac:dyDescent="0.25">
      <c r="A21" s="15">
        <f t="shared" si="10"/>
        <v>10.799999999999994</v>
      </c>
      <c r="B21" s="16">
        <f t="shared" si="3"/>
        <v>2.7931034482758608</v>
      </c>
      <c r="C21" s="17">
        <f t="shared" si="4"/>
        <v>3466</v>
      </c>
      <c r="D21" s="17">
        <f t="shared" si="5"/>
        <v>2457</v>
      </c>
      <c r="E21" s="17">
        <f t="shared" si="6"/>
        <v>2458</v>
      </c>
      <c r="F21" s="18">
        <f t="shared" si="7"/>
        <v>2457.5999999999985</v>
      </c>
      <c r="G21" s="19">
        <f t="shared" si="8"/>
        <v>2.4414062499940804E-2</v>
      </c>
      <c r="H21" s="41">
        <f t="shared" si="0"/>
        <v>0.8335368335368335</v>
      </c>
      <c r="I21" s="41">
        <f t="shared" si="9"/>
        <v>9.0021978021977969</v>
      </c>
      <c r="J21" s="42">
        <f t="shared" si="11"/>
        <v>9</v>
      </c>
      <c r="K21" s="42">
        <f t="shared" si="2"/>
        <v>17.094017094017094</v>
      </c>
    </row>
    <row r="22" spans="1:11" x14ac:dyDescent="0.25">
      <c r="A22" s="15">
        <f t="shared" si="10"/>
        <v>10.899999999999993</v>
      </c>
      <c r="B22" s="16">
        <f t="shared" si="3"/>
        <v>2.8189655172413777</v>
      </c>
      <c r="C22" s="17">
        <f t="shared" si="4"/>
        <v>3498</v>
      </c>
      <c r="D22" s="17">
        <f t="shared" si="5"/>
        <v>2480</v>
      </c>
      <c r="E22" s="17">
        <f t="shared" si="6"/>
        <v>2480</v>
      </c>
      <c r="F22" s="18">
        <f t="shared" si="7"/>
        <v>2480.355555555554</v>
      </c>
      <c r="G22" s="19">
        <f t="shared" si="8"/>
        <v>1.4334862385259182E-2</v>
      </c>
      <c r="H22" s="41">
        <f t="shared" si="0"/>
        <v>0.82580645161290323</v>
      </c>
      <c r="I22" s="41">
        <f t="shared" si="9"/>
        <v>9.0012903225806404</v>
      </c>
      <c r="J22" s="42">
        <f t="shared" si="11"/>
        <v>9</v>
      </c>
      <c r="K22" s="42">
        <f t="shared" si="2"/>
        <v>16.93548387096774</v>
      </c>
    </row>
    <row r="23" spans="1:11" x14ac:dyDescent="0.25">
      <c r="A23" s="20">
        <f t="shared" si="10"/>
        <v>10.999999999999993</v>
      </c>
      <c r="B23" s="21">
        <f t="shared" si="3"/>
        <v>2.844827586206895</v>
      </c>
      <c r="C23" s="22">
        <f t="shared" si="4"/>
        <v>3531</v>
      </c>
      <c r="D23" s="22">
        <f t="shared" si="5"/>
        <v>2503</v>
      </c>
      <c r="E23" s="22">
        <f t="shared" si="6"/>
        <v>2503</v>
      </c>
      <c r="F23" s="23">
        <f t="shared" si="7"/>
        <v>2503.1111111111095</v>
      </c>
      <c r="G23" s="24">
        <f t="shared" si="8"/>
        <v>4.4389204544808625E-3</v>
      </c>
      <c r="H23" s="43">
        <f>2048/$D23</f>
        <v>0.81821813823411904</v>
      </c>
      <c r="I23" s="43">
        <f t="shared" si="9"/>
        <v>9.0003995205753036</v>
      </c>
      <c r="J23" s="24">
        <f t="shared" si="11"/>
        <v>9</v>
      </c>
      <c r="K23" s="24">
        <f t="shared" si="2"/>
        <v>16.779864163004394</v>
      </c>
    </row>
    <row r="24" spans="1:11" x14ac:dyDescent="0.25">
      <c r="A24" s="15">
        <v>11.1</v>
      </c>
      <c r="B24" s="16">
        <f t="shared" si="3"/>
        <v>2.8706896551724137</v>
      </c>
      <c r="C24" s="17">
        <f t="shared" si="4"/>
        <v>3563</v>
      </c>
      <c r="D24" s="17">
        <f t="shared" si="5"/>
        <v>2526</v>
      </c>
      <c r="E24" s="17">
        <f t="shared" si="6"/>
        <v>2526</v>
      </c>
      <c r="F24" s="18">
        <f t="shared" si="7"/>
        <v>2525.8666666666663</v>
      </c>
      <c r="G24" s="19">
        <f t="shared" si="8"/>
        <v>-5.2787162162294191E-3</v>
      </c>
      <c r="H24" s="41">
        <f t="shared" ref="H24:H40" si="12">2048/$D24</f>
        <v>0.81076801266825016</v>
      </c>
      <c r="I24" s="41">
        <f t="shared" si="9"/>
        <v>8.9995249406175759</v>
      </c>
      <c r="J24" s="42">
        <f t="shared" si="11"/>
        <v>9</v>
      </c>
      <c r="K24" s="54">
        <f t="shared" si="2"/>
        <v>16.6270783847981</v>
      </c>
    </row>
    <row r="25" spans="1:11" x14ac:dyDescent="0.25">
      <c r="A25" s="15">
        <f>A24+0.1</f>
        <v>11.2</v>
      </c>
      <c r="B25" s="16">
        <f t="shared" si="3"/>
        <v>2.896551724137931</v>
      </c>
      <c r="C25" s="17">
        <f t="shared" si="4"/>
        <v>3595</v>
      </c>
      <c r="D25" s="17">
        <f t="shared" si="5"/>
        <v>2548</v>
      </c>
      <c r="E25" s="17">
        <f t="shared" si="6"/>
        <v>2549</v>
      </c>
      <c r="F25" s="18">
        <f t="shared" si="7"/>
        <v>2548.6222222222218</v>
      </c>
      <c r="G25" s="19">
        <f t="shared" si="8"/>
        <v>2.4414062499983749E-2</v>
      </c>
      <c r="H25" s="41">
        <f t="shared" si="12"/>
        <v>0.8037676609105181</v>
      </c>
      <c r="I25" s="41">
        <f t="shared" si="9"/>
        <v>9.0021978021978022</v>
      </c>
      <c r="J25" s="42">
        <f t="shared" si="11"/>
        <v>9</v>
      </c>
      <c r="K25" s="42">
        <f t="shared" si="2"/>
        <v>16.483516483516482</v>
      </c>
    </row>
    <row r="26" spans="1:11" x14ac:dyDescent="0.25">
      <c r="A26" s="15">
        <f t="shared" ref="A26:A40" si="13">A25+0.1</f>
        <v>11.299999999999999</v>
      </c>
      <c r="B26" s="16">
        <f t="shared" si="3"/>
        <v>2.9224137931034484</v>
      </c>
      <c r="C26" s="17">
        <f t="shared" si="4"/>
        <v>3627</v>
      </c>
      <c r="D26" s="17">
        <f t="shared" si="5"/>
        <v>2571</v>
      </c>
      <c r="E26" s="17">
        <f t="shared" si="6"/>
        <v>2571</v>
      </c>
      <c r="F26" s="18">
        <f t="shared" si="7"/>
        <v>2571.3777777777773</v>
      </c>
      <c r="G26" s="19">
        <f t="shared" si="8"/>
        <v>1.4691648230069241E-2</v>
      </c>
      <c r="H26" s="41">
        <f t="shared" si="12"/>
        <v>0.79657720731232984</v>
      </c>
      <c r="I26" s="41">
        <f t="shared" si="9"/>
        <v>9.001322442629327</v>
      </c>
      <c r="J26" s="42">
        <f t="shared" si="11"/>
        <v>9</v>
      </c>
      <c r="K26" s="42">
        <f t="shared" si="2"/>
        <v>16.336056009334889</v>
      </c>
    </row>
    <row r="27" spans="1:11" x14ac:dyDescent="0.25">
      <c r="A27" s="15">
        <f t="shared" si="13"/>
        <v>11.399999999999999</v>
      </c>
      <c r="B27" s="16">
        <f t="shared" si="3"/>
        <v>2.9482758620689653</v>
      </c>
      <c r="C27" s="17">
        <f t="shared" si="4"/>
        <v>3659</v>
      </c>
      <c r="D27" s="17">
        <f t="shared" si="5"/>
        <v>2594</v>
      </c>
      <c r="E27" s="17">
        <f t="shared" si="6"/>
        <v>2594</v>
      </c>
      <c r="F27" s="18">
        <f t="shared" si="7"/>
        <v>2594.1333333333328</v>
      </c>
      <c r="G27" s="19">
        <f t="shared" si="8"/>
        <v>5.1398026315567441E-3</v>
      </c>
      <c r="H27" s="41">
        <f t="shared" si="12"/>
        <v>0.78951426368542788</v>
      </c>
      <c r="I27" s="41">
        <f t="shared" si="9"/>
        <v>9.0004626060138762</v>
      </c>
      <c r="J27" s="42">
        <f t="shared" si="11"/>
        <v>9</v>
      </c>
      <c r="K27" s="42">
        <f t="shared" si="2"/>
        <v>16.191210485736313</v>
      </c>
    </row>
    <row r="28" spans="1:11" x14ac:dyDescent="0.25">
      <c r="A28" s="15">
        <f t="shared" si="13"/>
        <v>11.499999999999998</v>
      </c>
      <c r="B28" s="16">
        <f t="shared" si="3"/>
        <v>2.9741379310344827</v>
      </c>
      <c r="C28" s="17">
        <f t="shared" si="4"/>
        <v>3691</v>
      </c>
      <c r="D28" s="17">
        <f t="shared" si="5"/>
        <v>2617</v>
      </c>
      <c r="E28" s="17">
        <f t="shared" si="6"/>
        <v>2617</v>
      </c>
      <c r="F28" s="18">
        <f t="shared" si="7"/>
        <v>2616.8888888888882</v>
      </c>
      <c r="G28" s="19">
        <f t="shared" si="8"/>
        <v>-4.2459239130685804E-3</v>
      </c>
      <c r="H28" s="41">
        <f t="shared" si="12"/>
        <v>0.78257546809323653</v>
      </c>
      <c r="I28" s="41">
        <f t="shared" si="9"/>
        <v>8.9996178830722187</v>
      </c>
      <c r="J28" s="42">
        <f t="shared" si="11"/>
        <v>9</v>
      </c>
      <c r="K28" s="42">
        <f t="shared" si="2"/>
        <v>16.048910966755827</v>
      </c>
    </row>
    <row r="29" spans="1:11" x14ac:dyDescent="0.25">
      <c r="A29" s="15">
        <f t="shared" si="13"/>
        <v>11.599999999999998</v>
      </c>
      <c r="B29" s="16">
        <f t="shared" si="3"/>
        <v>2.9999999999999996</v>
      </c>
      <c r="C29" s="17">
        <f t="shared" si="4"/>
        <v>3723</v>
      </c>
      <c r="D29" s="17">
        <f t="shared" si="5"/>
        <v>2639</v>
      </c>
      <c r="E29" s="17">
        <f t="shared" si="6"/>
        <v>2640</v>
      </c>
      <c r="F29" s="18">
        <f t="shared" si="7"/>
        <v>2639.6444444444437</v>
      </c>
      <c r="G29" s="19">
        <f t="shared" si="8"/>
        <v>2.4414062499972061E-2</v>
      </c>
      <c r="H29" s="41">
        <f t="shared" si="12"/>
        <v>0.77605153467222432</v>
      </c>
      <c r="I29" s="41">
        <f t="shared" si="9"/>
        <v>9.0021978021978004</v>
      </c>
      <c r="J29" s="42">
        <f t="shared" si="11"/>
        <v>9</v>
      </c>
      <c r="K29" s="42">
        <f t="shared" si="2"/>
        <v>15.915119363395226</v>
      </c>
    </row>
    <row r="30" spans="1:11" x14ac:dyDescent="0.25">
      <c r="A30" s="15">
        <f t="shared" si="13"/>
        <v>11.699999999999998</v>
      </c>
      <c r="B30" s="16">
        <f t="shared" si="3"/>
        <v>3.0258620689655169</v>
      </c>
      <c r="C30" s="17">
        <f t="shared" si="4"/>
        <v>3755</v>
      </c>
      <c r="D30" s="17">
        <f t="shared" si="5"/>
        <v>2662</v>
      </c>
      <c r="E30" s="17">
        <f t="shared" si="6"/>
        <v>2662</v>
      </c>
      <c r="F30" s="18">
        <f t="shared" si="7"/>
        <v>2662.3999999999992</v>
      </c>
      <c r="G30" s="19">
        <f t="shared" si="8"/>
        <v>1.5024038461507723E-2</v>
      </c>
      <c r="H30" s="41">
        <f t="shared" si="12"/>
        <v>0.76934635612321567</v>
      </c>
      <c r="I30" s="41">
        <f t="shared" si="9"/>
        <v>9.0013523666416209</v>
      </c>
      <c r="J30" s="42">
        <f t="shared" si="11"/>
        <v>9</v>
      </c>
      <c r="K30" s="42">
        <f t="shared" si="2"/>
        <v>15.777610818933132</v>
      </c>
    </row>
    <row r="31" spans="1:11" x14ac:dyDescent="0.25">
      <c r="A31" s="15">
        <f t="shared" si="13"/>
        <v>11.799999999999997</v>
      </c>
      <c r="B31" s="16">
        <f t="shared" si="3"/>
        <v>3.0517241379310338</v>
      </c>
      <c r="C31" s="17">
        <f t="shared" si="4"/>
        <v>3787</v>
      </c>
      <c r="D31" s="17">
        <f t="shared" si="5"/>
        <v>2685</v>
      </c>
      <c r="E31" s="17">
        <f t="shared" si="6"/>
        <v>2685</v>
      </c>
      <c r="F31" s="18">
        <f t="shared" si="7"/>
        <v>2685.1555555555547</v>
      </c>
      <c r="G31" s="19">
        <f t="shared" si="8"/>
        <v>5.7931673728478629E-3</v>
      </c>
      <c r="H31" s="41">
        <f t="shared" si="12"/>
        <v>0.76275605214152697</v>
      </c>
      <c r="I31" s="41">
        <f t="shared" si="9"/>
        <v>9.0005214152700166</v>
      </c>
      <c r="J31" s="42">
        <f t="shared" si="11"/>
        <v>9</v>
      </c>
      <c r="K31" s="42">
        <f t="shared" si="2"/>
        <v>15.64245810055866</v>
      </c>
    </row>
    <row r="32" spans="1:11" x14ac:dyDescent="0.25">
      <c r="A32" s="15">
        <f t="shared" si="13"/>
        <v>11.899999999999997</v>
      </c>
      <c r="B32" s="16">
        <f t="shared" si="3"/>
        <v>3.0775862068965512</v>
      </c>
      <c r="C32" s="17">
        <f t="shared" si="4"/>
        <v>3819</v>
      </c>
      <c r="D32" s="17">
        <f t="shared" si="5"/>
        <v>2707</v>
      </c>
      <c r="E32" s="17">
        <f t="shared" si="6"/>
        <v>2708</v>
      </c>
      <c r="F32" s="18">
        <f t="shared" si="7"/>
        <v>2707.9111111111101</v>
      </c>
      <c r="G32" s="19">
        <f t="shared" si="8"/>
        <v>3.3646271008367173E-2</v>
      </c>
      <c r="H32" s="41">
        <f t="shared" si="12"/>
        <v>0.75655707425193941</v>
      </c>
      <c r="I32" s="41">
        <f t="shared" si="9"/>
        <v>9.0030291835980769</v>
      </c>
      <c r="J32" s="42">
        <f t="shared" si="11"/>
        <v>9</v>
      </c>
      <c r="K32" s="42">
        <f t="shared" si="2"/>
        <v>15.515330624307351</v>
      </c>
    </row>
    <row r="33" spans="1:11" x14ac:dyDescent="0.25">
      <c r="A33" s="15">
        <f t="shared" si="13"/>
        <v>11.999999999999996</v>
      </c>
      <c r="B33" s="16">
        <f t="shared" si="3"/>
        <v>3.1034482758620681</v>
      </c>
      <c r="C33" s="17">
        <f t="shared" si="4"/>
        <v>3852</v>
      </c>
      <c r="D33" s="17">
        <f t="shared" si="5"/>
        <v>2731</v>
      </c>
      <c r="E33" s="17">
        <f t="shared" si="6"/>
        <v>2731</v>
      </c>
      <c r="F33" s="18">
        <f t="shared" si="7"/>
        <v>2730.6666666666656</v>
      </c>
      <c r="G33" s="19">
        <f t="shared" si="8"/>
        <v>-1.2207031250038863E-2</v>
      </c>
      <c r="H33" s="41">
        <f t="shared" si="12"/>
        <v>0.74990845844013188</v>
      </c>
      <c r="I33" s="41">
        <f t="shared" si="9"/>
        <v>8.9989015012815798</v>
      </c>
      <c r="J33" s="42">
        <f t="shared" si="11"/>
        <v>9</v>
      </c>
      <c r="K33" s="42">
        <f t="shared" si="2"/>
        <v>15.378982057854266</v>
      </c>
    </row>
    <row r="34" spans="1:11" x14ac:dyDescent="0.25">
      <c r="A34" s="15">
        <f t="shared" si="13"/>
        <v>12.099999999999996</v>
      </c>
      <c r="B34" s="16">
        <f t="shared" si="3"/>
        <v>3.1293103448275854</v>
      </c>
      <c r="C34" s="17">
        <f t="shared" si="4"/>
        <v>3884</v>
      </c>
      <c r="D34" s="17">
        <f t="shared" si="5"/>
        <v>2753</v>
      </c>
      <c r="E34" s="17">
        <f t="shared" si="6"/>
        <v>2753</v>
      </c>
      <c r="F34" s="18">
        <f t="shared" si="7"/>
        <v>2753.4222222222211</v>
      </c>
      <c r="G34" s="19">
        <f t="shared" si="8"/>
        <v>1.5334452479297375E-2</v>
      </c>
      <c r="H34" s="41">
        <f t="shared" si="12"/>
        <v>0.74391572829640396</v>
      </c>
      <c r="I34" s="41">
        <f t="shared" si="9"/>
        <v>9.0013803123864857</v>
      </c>
      <c r="J34" s="42">
        <f t="shared" si="11"/>
        <v>9</v>
      </c>
      <c r="K34" s="42">
        <f t="shared" si="2"/>
        <v>15.256084271703596</v>
      </c>
    </row>
    <row r="35" spans="1:11" x14ac:dyDescent="0.25">
      <c r="A35" s="15">
        <f t="shared" si="13"/>
        <v>12.199999999999996</v>
      </c>
      <c r="B35" s="16">
        <f t="shared" si="3"/>
        <v>3.1551724137931028</v>
      </c>
      <c r="C35" s="17">
        <f t="shared" si="4"/>
        <v>3916</v>
      </c>
      <c r="D35" s="17">
        <f t="shared" si="5"/>
        <v>2776</v>
      </c>
      <c r="E35" s="17">
        <f t="shared" si="6"/>
        <v>2776</v>
      </c>
      <c r="F35" s="18">
        <f t="shared" si="7"/>
        <v>2776.1777777777766</v>
      </c>
      <c r="G35" s="19">
        <f t="shared" si="8"/>
        <v>6.4036885245461212E-3</v>
      </c>
      <c r="H35" s="41">
        <f t="shared" si="12"/>
        <v>0.73775216138328525</v>
      </c>
      <c r="I35" s="41">
        <f t="shared" si="9"/>
        <v>9.0005763688760769</v>
      </c>
      <c r="J35" s="42">
        <f t="shared" si="11"/>
        <v>9</v>
      </c>
      <c r="K35" s="42">
        <f t="shared" si="2"/>
        <v>15.129682997118156</v>
      </c>
    </row>
    <row r="36" spans="1:11" x14ac:dyDescent="0.25">
      <c r="A36" s="15">
        <f t="shared" si="13"/>
        <v>12.299999999999995</v>
      </c>
      <c r="B36" s="16">
        <f t="shared" si="3"/>
        <v>3.1810344827586197</v>
      </c>
      <c r="C36" s="17">
        <f t="shared" si="4"/>
        <v>3948</v>
      </c>
      <c r="D36" s="17">
        <f t="shared" si="5"/>
        <v>2799</v>
      </c>
      <c r="E36" s="17">
        <f t="shared" si="6"/>
        <v>2799</v>
      </c>
      <c r="F36" s="18">
        <f t="shared" si="7"/>
        <v>2798.933333333332</v>
      </c>
      <c r="G36" s="19">
        <f t="shared" si="8"/>
        <v>-2.3818597561441374E-3</v>
      </c>
      <c r="H36" s="41">
        <f t="shared" si="12"/>
        <v>0.7316898892461593</v>
      </c>
      <c r="I36" s="41">
        <f t="shared" si="9"/>
        <v>8.9997856377277561</v>
      </c>
      <c r="J36" s="42">
        <f t="shared" si="11"/>
        <v>9</v>
      </c>
      <c r="K36" s="42">
        <f t="shared" si="2"/>
        <v>15.005359056806002</v>
      </c>
    </row>
    <row r="37" spans="1:11" x14ac:dyDescent="0.25">
      <c r="A37" s="15">
        <f t="shared" si="13"/>
        <v>12.399999999999995</v>
      </c>
      <c r="B37" s="16">
        <f t="shared" si="3"/>
        <v>3.206896551724137</v>
      </c>
      <c r="C37" s="17">
        <f t="shared" si="4"/>
        <v>3980</v>
      </c>
      <c r="D37" s="17">
        <f t="shared" si="5"/>
        <v>2821</v>
      </c>
      <c r="E37" s="17">
        <f t="shared" si="6"/>
        <v>2822</v>
      </c>
      <c r="F37" s="18">
        <f t="shared" si="7"/>
        <v>2821.6888888888875</v>
      </c>
      <c r="G37" s="19">
        <f t="shared" si="8"/>
        <v>2.4414062499950949E-2</v>
      </c>
      <c r="H37" s="41">
        <f t="shared" si="12"/>
        <v>0.72598369372562921</v>
      </c>
      <c r="I37" s="41">
        <f t="shared" si="9"/>
        <v>9.0021978021977986</v>
      </c>
      <c r="J37" s="42">
        <f t="shared" si="11"/>
        <v>9</v>
      </c>
      <c r="K37" s="42">
        <f t="shared" si="2"/>
        <v>14.88833746898263</v>
      </c>
    </row>
    <row r="38" spans="1:11" x14ac:dyDescent="0.25">
      <c r="A38" s="15">
        <f t="shared" si="13"/>
        <v>12.499999999999995</v>
      </c>
      <c r="B38" s="16">
        <f t="shared" si="3"/>
        <v>3.2327586206896539</v>
      </c>
      <c r="C38" s="17">
        <f t="shared" si="4"/>
        <v>4012</v>
      </c>
      <c r="D38" s="17">
        <f t="shared" si="5"/>
        <v>2844</v>
      </c>
      <c r="E38" s="17">
        <f t="shared" si="6"/>
        <v>2844</v>
      </c>
      <c r="F38" s="18">
        <f t="shared" si="7"/>
        <v>2844.444444444443</v>
      </c>
      <c r="G38" s="19">
        <f t="shared" si="8"/>
        <v>1.5624999999948493E-2</v>
      </c>
      <c r="H38" s="41">
        <f t="shared" si="12"/>
        <v>0.72011251758087202</v>
      </c>
      <c r="I38" s="41">
        <f t="shared" si="9"/>
        <v>9.0014064697608962</v>
      </c>
      <c r="J38" s="42">
        <f t="shared" si="11"/>
        <v>9</v>
      </c>
      <c r="K38" s="42">
        <f t="shared" si="2"/>
        <v>14.767932489451477</v>
      </c>
    </row>
    <row r="39" spans="1:11" x14ac:dyDescent="0.25">
      <c r="A39" s="35">
        <f t="shared" si="13"/>
        <v>12.599999999999994</v>
      </c>
      <c r="B39" s="16">
        <f t="shared" si="3"/>
        <v>3.2586206896551713</v>
      </c>
      <c r="C39" s="17">
        <f t="shared" si="4"/>
        <v>4044</v>
      </c>
      <c r="D39" s="17">
        <f t="shared" si="5"/>
        <v>2867</v>
      </c>
      <c r="E39" s="17">
        <f t="shared" si="6"/>
        <v>2867</v>
      </c>
      <c r="F39" s="18">
        <f t="shared" si="7"/>
        <v>2867.1999999999985</v>
      </c>
      <c r="G39" s="19">
        <f t="shared" si="8"/>
        <v>6.9754464285175068E-3</v>
      </c>
      <c r="H39" s="41">
        <f t="shared" si="12"/>
        <v>0.71433554237879315</v>
      </c>
      <c r="I39" s="41">
        <f t="shared" si="9"/>
        <v>9.0006278339727892</v>
      </c>
      <c r="J39" s="42">
        <f t="shared" si="11"/>
        <v>9</v>
      </c>
      <c r="K39" s="42">
        <f t="shared" si="2"/>
        <v>14.649459365190094</v>
      </c>
    </row>
    <row r="40" spans="1:11" x14ac:dyDescent="0.25">
      <c r="A40" s="29">
        <f t="shared" si="13"/>
        <v>12.699999999999994</v>
      </c>
      <c r="B40" s="25">
        <f t="shared" si="3"/>
        <v>3.2844827586206882</v>
      </c>
      <c r="C40" s="26">
        <f t="shared" si="4"/>
        <v>4076</v>
      </c>
      <c r="D40" s="26">
        <f t="shared" si="5"/>
        <v>2889</v>
      </c>
      <c r="E40" s="26">
        <f t="shared" si="6"/>
        <v>2890</v>
      </c>
      <c r="F40" s="27">
        <f t="shared" si="7"/>
        <v>2889.9555555555539</v>
      </c>
      <c r="G40" s="28">
        <f t="shared" si="8"/>
        <v>3.3064714566872856E-2</v>
      </c>
      <c r="H40" s="44">
        <f t="shared" si="12"/>
        <v>0.70889581169955007</v>
      </c>
      <c r="I40" s="44">
        <f t="shared" si="9"/>
        <v>9.0029768085842825</v>
      </c>
      <c r="J40" s="45">
        <f t="shared" si="11"/>
        <v>9</v>
      </c>
      <c r="K40" s="45">
        <f t="shared" si="2"/>
        <v>14.537902388369679</v>
      </c>
    </row>
    <row r="41" spans="1:11" x14ac:dyDescent="0.25">
      <c r="A41" s="32"/>
      <c r="B41" s="33"/>
      <c r="C41" s="30"/>
      <c r="D41" s="30"/>
      <c r="E41" s="30"/>
      <c r="F41" s="57"/>
      <c r="G41" s="34"/>
      <c r="H41" s="37"/>
      <c r="I41" s="37"/>
      <c r="J41" s="38"/>
      <c r="K41" s="34"/>
    </row>
    <row r="42" spans="1:11" x14ac:dyDescent="0.25">
      <c r="A42" s="29">
        <v>12.76</v>
      </c>
      <c r="B42" s="25">
        <f t="shared" si="3"/>
        <v>3.3000000000000003</v>
      </c>
      <c r="C42" s="26">
        <f t="shared" si="4"/>
        <v>4096</v>
      </c>
      <c r="D42" s="26">
        <f t="shared" si="5"/>
        <v>2904</v>
      </c>
      <c r="E42" s="26">
        <f t="shared" si="6"/>
        <v>2904</v>
      </c>
      <c r="F42" s="27">
        <f t="shared" si="7"/>
        <v>2903.6088888888885</v>
      </c>
      <c r="G42" s="28">
        <f t="shared" si="8"/>
        <v>-1.3469827586220749E-2</v>
      </c>
      <c r="H42" s="44">
        <f t="shared" ref="H42" si="14">2048/$D42</f>
        <v>0.70523415977961434</v>
      </c>
      <c r="I42" s="44">
        <f t="shared" si="9"/>
        <v>8.9987878787878781</v>
      </c>
      <c r="J42" s="45">
        <f t="shared" si="11"/>
        <v>9</v>
      </c>
      <c r="K42" s="45">
        <f t="shared" si="2"/>
        <v>14.462809917355372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7.2V</vt:lpstr>
      <vt:lpstr>9V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2021-11-03T09:14:13Z</dcterms:modified>
</cp:coreProperties>
</file>